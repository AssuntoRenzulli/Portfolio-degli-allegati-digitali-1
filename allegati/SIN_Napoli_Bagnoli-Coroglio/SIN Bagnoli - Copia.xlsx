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shortcut-targets-by-id\1DDlUy5gnhUNQ8SQU5WBLrQYZDfSq4omP\Metodologia INSINERGIA\SIN Bagnoli\2.Analisi ricognitiva del rischio\"/>
    </mc:Choice>
  </mc:AlternateContent>
  <xr:revisionPtr revIDLastSave="0" documentId="13_ncr:1_{A9879326-B61E-4A3D-B5BB-4B41018BDC2B}" xr6:coauthVersionLast="47" xr6:coauthVersionMax="47" xr10:uidLastSave="{00000000-0000-0000-0000-000000000000}"/>
  <bookViews>
    <workbookView xWindow="-108" yWindow="-108" windowWidth="23256" windowHeight="12456" tabRatio="639" firstSheet="4" activeTab="8" xr2:uid="{98D751DF-1710-4C82-B17A-C7408494BC66}"/>
  </bookViews>
  <sheets>
    <sheet name="Stato procedurale" sheetId="19" r:id="rId1"/>
    <sheet name="Bagnoli_Renzulli  " sheetId="4" r:id="rId2"/>
    <sheet name="SIN_Bagnoli" sheetId="7" r:id="rId3"/>
    <sheet name="Bagnoli_Arenile Sud" sheetId="14" r:id="rId4"/>
    <sheet name="Bagnoli_Colmata " sheetId="13" r:id="rId5"/>
    <sheet name="Bagnoli_Arenile Nord" sheetId="15" r:id="rId6"/>
    <sheet name="Ex Ilva-Ex Italsider " sheetId="18" r:id="rId7"/>
    <sheet name="Foglio1" sheetId="20" r:id="rId8"/>
    <sheet name="Basi 15" sheetId="17" r:id="rId9"/>
    <sheet name="Bagnoli_Cavone degli Sbirri " sheetId="16" r:id="rId10"/>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20" l="1"/>
  <c r="F8" i="20"/>
  <c r="F6" i="20"/>
  <c r="F7" i="20"/>
  <c r="F5" i="20"/>
  <c r="F3" i="20"/>
  <c r="F4" i="20"/>
  <c r="F2" i="20"/>
  <c r="AD62" i="17" l="1"/>
  <c r="AC106" i="18"/>
  <c r="Z106" i="18"/>
  <c r="AD63" i="17" s="1"/>
  <c r="AC105" i="18"/>
  <c r="Z105" i="18"/>
  <c r="AI63" i="17"/>
  <c r="AG63" i="17"/>
  <c r="AE63" i="17"/>
  <c r="AH63" i="17"/>
  <c r="AF63" i="17"/>
  <c r="AE62" i="17"/>
  <c r="AF62" i="17"/>
  <c r="AG62" i="17"/>
  <c r="AH62" i="17"/>
  <c r="AI62" i="17"/>
  <c r="AB86" i="18"/>
  <c r="AA76" i="18"/>
  <c r="AA97" i="18" l="1"/>
  <c r="AA106" i="18" s="1"/>
  <c r="AB74" i="18"/>
  <c r="AB106" i="18" s="1"/>
  <c r="AA105" i="18" l="1"/>
  <c r="AB105" i="18"/>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9" i="14"/>
  <c r="P43" i="14"/>
  <c r="P46" i="14"/>
  <c r="P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D9484E-F161-4A95-AEF0-19BCBC888155}" keepAlive="1" name="Query - Page001" description="Connessione alla query 'Page001' nella cartella di lavoro." type="5" refreshedVersion="0" background="1">
    <dbPr connection="Provider=Microsoft.Mashup.OleDb.1;Data Source=$Workbook$;Location=Page001;Extended Properties=&quot;&quot;" command="SELECT * FROM [Page001]"/>
  </connection>
</connections>
</file>

<file path=xl/sharedStrings.xml><?xml version="1.0" encoding="utf-8"?>
<sst xmlns="http://schemas.openxmlformats.org/spreadsheetml/2006/main" count="7110" uniqueCount="1261">
  <si>
    <t>Metodologia</t>
  </si>
  <si>
    <t>Anno di riferimento</t>
  </si>
  <si>
    <t>R</t>
  </si>
  <si>
    <t>HI</t>
  </si>
  <si>
    <t>Matrice</t>
  </si>
  <si>
    <t>Fase di trasporto del volume di colmata trattato off-site (cross contamination)</t>
  </si>
  <si>
    <r>
      <t xml:space="preserve">L'autorità competente richiede AdR </t>
    </r>
    <r>
      <rPr>
        <b/>
        <u/>
        <sz val="11"/>
        <color theme="1"/>
        <rFont val="Calibri"/>
        <family val="2"/>
        <scheme val="minor"/>
      </rPr>
      <t>esclusivamente diretta e nello scenario post-intervento</t>
    </r>
    <r>
      <rPr>
        <sz val="11"/>
        <color theme="1"/>
        <rFont val="Calibri"/>
        <family val="2"/>
        <scheme val="minor"/>
      </rPr>
      <t xml:space="preserve"> attendendo (R,HI,CDI). La metodica adottata per la valutazione del rischio sanitario è la Risk Based Corrective Action (RBCA), definita
dall’American Society for Testing and Materials (ASTM), considerando, in particolare, un’analisi di secondo livello,
eseguita adottando valori sito-specifici e, qualora non disponibili, valori conservativi indicati nella bibliografia
scientifica nazionale ed internazionale, scelti secondo il criterio di un ragionevole margine cautelativo (reasonable
worst case). è stata trascurata la concentrazione di saturazione </t>
    </r>
  </si>
  <si>
    <t>Arenile Nord</t>
  </si>
  <si>
    <t>Sedimenti</t>
  </si>
  <si>
    <t>Orizzonte profondo saturo</t>
  </si>
  <si>
    <t>Scenario</t>
  </si>
  <si>
    <t>2025 - Post Intervento</t>
  </si>
  <si>
    <t>Orizzonte profondo insaturo</t>
  </si>
  <si>
    <t>Lisciviazione e trasporto dei contaminanti verso il mare</t>
  </si>
  <si>
    <t>Modelli (NAF)</t>
  </si>
  <si>
    <t>Bambino</t>
  </si>
  <si>
    <t>Adulto</t>
  </si>
  <si>
    <t xml:space="preserve">EF= 30 d/y </t>
  </si>
  <si>
    <t>EF= 90 d/y</t>
  </si>
  <si>
    <t xml:space="preserve">EF= 180 d/y </t>
  </si>
  <si>
    <t>Contaminanti indice (COCs)</t>
  </si>
  <si>
    <t xml:space="preserve"> Concentrazione rappresentativa della sorgente (CRS)</t>
  </si>
  <si>
    <t>Modalità di esposizione (Input data)</t>
  </si>
  <si>
    <t>Caratt. sorgente</t>
  </si>
  <si>
    <t xml:space="preserve">Parametri di esposizione </t>
  </si>
  <si>
    <t>Matrice sorgente</t>
  </si>
  <si>
    <t>Suolo superficiale</t>
  </si>
  <si>
    <t>Percorsi diretti e inalazione di polveri outdoor</t>
  </si>
  <si>
    <t>Arsenico</t>
  </si>
  <si>
    <t>Cadmio</t>
  </si>
  <si>
    <t>Cromo</t>
  </si>
  <si>
    <t>Mercurio</t>
  </si>
  <si>
    <t>Piombo</t>
  </si>
  <si>
    <t>Rame</t>
  </si>
  <si>
    <t>Vanadio</t>
  </si>
  <si>
    <t>Zinco</t>
  </si>
  <si>
    <t>Pirene</t>
  </si>
  <si>
    <t>Benzo(a)antracene</t>
  </si>
  <si>
    <t>Crisene</t>
  </si>
  <si>
    <t>Benzo(k)fluorantene</t>
  </si>
  <si>
    <t>Benzo(a)pirene</t>
  </si>
  <si>
    <t>Indenopirene</t>
  </si>
  <si>
    <t>Dibenzo(a,h)antracene</t>
  </si>
  <si>
    <t>Benzo(g,h,i)perilene</t>
  </si>
  <si>
    <t>Dibenzo(a,e)pirene</t>
  </si>
  <si>
    <t>Dibenzo(a,l)pirene</t>
  </si>
  <si>
    <t>Dibenzo(a,i)pirene</t>
  </si>
  <si>
    <t>Dibenzo(a,h)pirene</t>
  </si>
  <si>
    <t>PCB Totali</t>
  </si>
  <si>
    <t>PCB Dioxin-Like</t>
  </si>
  <si>
    <t>Alifatici C13-C18</t>
  </si>
  <si>
    <t>Alifatici C19-C36</t>
  </si>
  <si>
    <t>Aromatici C13-C22</t>
  </si>
  <si>
    <t>Alifatici C5-C8</t>
  </si>
  <si>
    <t>Aromatici C9-C10</t>
  </si>
  <si>
    <t xml:space="preserve">Inalazione di vapori outdoor </t>
  </si>
  <si>
    <t xml:space="preserve">Mercurio </t>
  </si>
  <si>
    <t>Idrocarburi alifatici C5-C8</t>
  </si>
  <si>
    <t>Idrocarburi aromatici C9-C10</t>
  </si>
  <si>
    <t>Idrocarburi alifatici C13-C18</t>
  </si>
  <si>
    <t>Idrocarburi alifatici C19-C36</t>
  </si>
  <si>
    <t>Idrocarburi aromatici C13-C22</t>
  </si>
  <si>
    <t xml:space="preserve">Inalazione di vapori indoor </t>
  </si>
  <si>
    <t>Benzo(b)fluorantene</t>
  </si>
  <si>
    <t>PCB</t>
  </si>
  <si>
    <t xml:space="preserve">Suolo profondo </t>
  </si>
  <si>
    <t>Caratterizzazione del rischio</t>
  </si>
  <si>
    <t>Caratt. Esposizione</t>
  </si>
  <si>
    <r>
      <t>Rischi ambientali associati alle C</t>
    </r>
    <r>
      <rPr>
        <b/>
        <vertAlign val="subscript"/>
        <sz val="11"/>
        <color theme="1"/>
        <rFont val="Calibri"/>
        <family val="2"/>
        <scheme val="minor"/>
      </rPr>
      <t>RS</t>
    </r>
    <r>
      <rPr>
        <b/>
        <sz val="11"/>
        <color theme="1"/>
        <rFont val="Calibri"/>
        <family val="2"/>
        <scheme val="minor"/>
      </rPr>
      <t xml:space="preserve"> (valutazione in modalità diretta)</t>
    </r>
  </si>
  <si>
    <t>Distribuzione spaziale (qualitativa per valutazione comparativa)</t>
  </si>
  <si>
    <t>Caratteristiche fisico-chimiche (qualitativa per valutazione comparativa)</t>
  </si>
  <si>
    <t>Percorsi di esposizione (qualitativa per valutazione comparativa)</t>
  </si>
  <si>
    <t>Valore massimo tra i rilevati [mg/kg]</t>
  </si>
  <si>
    <t>Note</t>
  </si>
  <si>
    <t>Valore limite (CSC) o soglia (ISS-INAIL) [mg/kg]</t>
  </si>
  <si>
    <t>ARSENICO</t>
  </si>
  <si>
    <t>valore massimo</t>
  </si>
  <si>
    <t>CADMIO</t>
  </si>
  <si>
    <t>2.04</t>
  </si>
  <si>
    <t>valore massimo (ARPA)</t>
  </si>
  <si>
    <t>PIOMBO</t>
  </si>
  <si>
    <t>SELENIO</t>
  </si>
  <si>
    <t>3.63</t>
  </si>
  <si>
    <t>TALLIO</t>
  </si>
  <si>
    <t>6.54</t>
  </si>
  <si>
    <t>VANADIO</t>
  </si>
  <si>
    <t>ZINCO</t>
  </si>
  <si>
    <t>FLUORURI</t>
  </si>
  <si>
    <t>BENZO(A)ANTRACENE</t>
  </si>
  <si>
    <t>9.02</t>
  </si>
  <si>
    <t>0.5</t>
  </si>
  <si>
    <t>BENZO(A)PIRENE</t>
  </si>
  <si>
    <t>13.3</t>
  </si>
  <si>
    <t>0.1</t>
  </si>
  <si>
    <t>BENZO(B)FLUORANTENE</t>
  </si>
  <si>
    <t>16.6</t>
  </si>
  <si>
    <t>BENZO(J)FLUORANTENE</t>
  </si>
  <si>
    <t>BENZO(g,h,j)PERILENE</t>
  </si>
  <si>
    <t>12.6</t>
  </si>
  <si>
    <t>BENZO(K)FLUORANTENE</t>
  </si>
  <si>
    <t>3.88</t>
  </si>
  <si>
    <t>CRISENE</t>
  </si>
  <si>
    <t>10.1</t>
  </si>
  <si>
    <t>DIBENZO(A,E)PIRENE</t>
  </si>
  <si>
    <t>5.39</t>
  </si>
  <si>
    <t>DIBENZO(A,H)ANTRACENE</t>
  </si>
  <si>
    <t>1.82</t>
  </si>
  <si>
    <t>DIBENZO(A,H)PIRENE</t>
  </si>
  <si>
    <t>7.36</t>
  </si>
  <si>
    <t>DIBENZO(A,i)PIRENE</t>
  </si>
  <si>
    <t>3.55</t>
  </si>
  <si>
    <t>DIBENZO(A,j)PIRENE</t>
  </si>
  <si>
    <t>2.8</t>
  </si>
  <si>
    <t>INDENO(1,2,3-CD)PIRENE</t>
  </si>
  <si>
    <t>18.3</t>
  </si>
  <si>
    <t>PIRENE</t>
  </si>
  <si>
    <t>17.3</t>
  </si>
  <si>
    <t>FENANTRENE</t>
  </si>
  <si>
    <t>6.41</t>
  </si>
  <si>
    <t>FLUORANTENE</t>
  </si>
  <si>
    <t>21.6</t>
  </si>
  <si>
    <t>BENZENE</t>
  </si>
  <si>
    <t>0.116</t>
  </si>
  <si>
    <t>IDROCARBURI C≤12</t>
  </si>
  <si>
    <t>19.5</t>
  </si>
  <si>
    <t>AROMATICI C9 - C10</t>
  </si>
  <si>
    <t>Valore massimo</t>
  </si>
  <si>
    <t>IDROCARBURI C&gt;12</t>
  </si>
  <si>
    <t>ALIFATICI C13 - C18</t>
  </si>
  <si>
    <t>1,6% Idrocarburi C&lt;12 (precisazione campione)</t>
  </si>
  <si>
    <t>ALIFATICI C19 - C36</t>
  </si>
  <si>
    <t>93,5% Idrocarburi C&gt;12 (precisazione campione)</t>
  </si>
  <si>
    <t>AROMATICI C13 - C22</t>
  </si>
  <si>
    <t>4,6% Idrocarburi C&gt;12 (precisazione campione)</t>
  </si>
  <si>
    <t>Idrocarburi alifatici C9 - C12</t>
  </si>
  <si>
    <t>7.00E-04</t>
  </si>
  <si>
    <t>2.10E-03</t>
  </si>
  <si>
    <t>4.20E-03</t>
  </si>
  <si>
    <t>1.13E-08</t>
  </si>
  <si>
    <t>1.13E-04</t>
  </si>
  <si>
    <t>3.39E-08</t>
  </si>
  <si>
    <t>3.38E-04</t>
  </si>
  <si>
    <t>6.78E-08</t>
  </si>
  <si>
    <t>6.76E-04</t>
  </si>
  <si>
    <t>1.22E-02</t>
  </si>
  <si>
    <t>3.67E-02</t>
  </si>
  <si>
    <t>7.35E-02</t>
  </si>
  <si>
    <t>1.30E-02</t>
  </si>
  <si>
    <t>3.91E-02</t>
  </si>
  <si>
    <t>7.84E-02</t>
  </si>
  <si>
    <t>-</t>
  </si>
  <si>
    <t>DIBENZO(A,I)PIRENE</t>
  </si>
  <si>
    <t>AROMATICI C9-C10</t>
  </si>
  <si>
    <t xml:space="preserve"> Estensione della sorgente nella direzione principale del vento
vento (Inalazione) 
 Profondità del top della sorgente nell’orizzonte profondo rispetto al p.c (Lisciviazione) 
Spessore della sorgente nell’orizzonte profondo insaturo 
Soggiacenza della falda 
Kd</t>
  </si>
  <si>
    <t>9.67</t>
  </si>
  <si>
    <t>1.73</t>
  </si>
  <si>
    <t>70.3</t>
  </si>
  <si>
    <t>66.9</t>
  </si>
  <si>
    <t>82.4</t>
  </si>
  <si>
    <t>19.2</t>
  </si>
  <si>
    <t>29.8</t>
  </si>
  <si>
    <t>12.4</t>
  </si>
  <si>
    <t>43.6</t>
  </si>
  <si>
    <t>11.2</t>
  </si>
  <si>
    <t>90.6</t>
  </si>
  <si>
    <t>13.7</t>
  </si>
  <si>
    <t>0.112</t>
  </si>
  <si>
    <t>10.6</t>
  </si>
  <si>
    <t xml:space="preserve">valore massimo </t>
  </si>
  <si>
    <t>Arenile Sud</t>
  </si>
  <si>
    <t>BERILLIO</t>
  </si>
  <si>
    <t>RAME</t>
  </si>
  <si>
    <t>BENZO(G,H,I)PERILENE</t>
  </si>
  <si>
    <t>ANTRACENE</t>
  </si>
  <si>
    <t xml:space="preserve">Concentrazione attesa in falda </t>
  </si>
  <si>
    <t>Concentrazione misurata negli eluati</t>
  </si>
  <si>
    <t>Concentrazione misurata nelle acque di mare</t>
  </si>
  <si>
    <t>max (µg/l)</t>
  </si>
  <si>
    <t>media (µg/l)</t>
  </si>
  <si>
    <t>in corrispondenza della sorgente (µg/l)</t>
  </si>
  <si>
    <t>2.84E+03</t>
  </si>
  <si>
    <t>4.74E+01</t>
  </si>
  <si>
    <t>7.64E+00</t>
  </si>
  <si>
    <t>1.55E+01</t>
  </si>
  <si>
    <t>4.58E+00</t>
  </si>
  <si>
    <t>8.40E-01</t>
  </si>
  <si>
    <t>1.04E+00</t>
  </si>
  <si>
    <t>1.02E+00</t>
  </si>
  <si>
    <t>9.06E+01</t>
  </si>
  <si>
    <t>5.96E+01</t>
  </si>
  <si>
    <t>8.61E+00</t>
  </si>
  <si>
    <t>2.13E+01</t>
  </si>
  <si>
    <t>2.78E+00</t>
  </si>
  <si>
    <t>7.43E+01</t>
  </si>
  <si>
    <t>2.40E+00</t>
  </si>
  <si>
    <t>1.67E+00</t>
  </si>
  <si>
    <t>1.26E+00</t>
  </si>
  <si>
    <t>5.73E+00</t>
  </si>
  <si>
    <t>&lt;1</t>
  </si>
  <si>
    <t>8.18E+03</t>
  </si>
  <si>
    <t>2.66E+01</t>
  </si>
  <si>
    <t>5.25E+00</t>
  </si>
  <si>
    <t>6.86E+00</t>
  </si>
  <si>
    <t>1.64E+00</t>
  </si>
  <si>
    <t>2.84E+02</t>
  </si>
  <si>
    <t>4.30E+01</t>
  </si>
  <si>
    <t>1.43E+01</t>
  </si>
  <si>
    <t>1.51E+02</t>
  </si>
  <si>
    <t>2.97E+01</t>
  </si>
  <si>
    <t>8.68E+02</t>
  </si>
  <si>
    <t>1.95E+03</t>
  </si>
  <si>
    <t>3.67E+02</t>
  </si>
  <si>
    <t>1.57E+03</t>
  </si>
  <si>
    <t>1.18E+03</t>
  </si>
  <si>
    <t>3.07E+00</t>
  </si>
  <si>
    <t>1.68E+01</t>
  </si>
  <si>
    <t>1.35E+01</t>
  </si>
  <si>
    <t>3.16E+00</t>
  </si>
  <si>
    <t>1.67E+01</t>
  </si>
  <si>
    <t>1.65E+01</t>
  </si>
  <si>
    <t>1.06E+00</t>
  </si>
  <si>
    <t>2.12E+00</t>
  </si>
  <si>
    <t>1.38E+01</t>
  </si>
  <si>
    <t>4.74E+00</t>
  </si>
  <si>
    <t>2.71E+00</t>
  </si>
  <si>
    <t>3.93E+00</t>
  </si>
  <si>
    <t>2.09E+01</t>
  </si>
  <si>
    <t>3.32E+01</t>
  </si>
  <si>
    <t>3.71E+01</t>
  </si>
  <si>
    <t>3.00E+00</t>
  </si>
  <si>
    <t>2.65E+01</t>
  </si>
  <si>
    <t>4.95E+01</t>
  </si>
  <si>
    <t>5.67E+01</t>
  </si>
  <si>
    <t>1.59E-01</t>
  </si>
  <si>
    <t>2.56E-02</t>
  </si>
  <si>
    <t>5.18E-01</t>
  </si>
  <si>
    <t>4.75E-02</t>
  </si>
  <si>
    <t>nd</t>
  </si>
  <si>
    <t>2.10E-02</t>
  </si>
  <si>
    <t>1.91E-02</t>
  </si>
  <si>
    <t>5.50E-02</t>
  </si>
  <si>
    <t>1.89E+02</t>
  </si>
  <si>
    <t>7.68E-01</t>
  </si>
  <si>
    <t>9.47E-02</t>
  </si>
  <si>
    <t>3.26E+01</t>
  </si>
  <si>
    <t>2.69E+02</t>
  </si>
  <si>
    <t>8.51E+02</t>
  </si>
  <si>
    <t>2.02E+02</t>
  </si>
  <si>
    <t>3.35E+01</t>
  </si>
  <si>
    <t>2.31E+02</t>
  </si>
  <si>
    <t>1.18E+00</t>
  </si>
  <si>
    <t>1.01E+01</t>
  </si>
  <si>
    <t>1.70E+00</t>
  </si>
  <si>
    <t>2.26E+01</t>
  </si>
  <si>
    <t>2.88E+02</t>
  </si>
  <si>
    <t>6.14E+03</t>
  </si>
  <si>
    <t>4.31E+01</t>
  </si>
  <si>
    <t>3.70E+00</t>
  </si>
  <si>
    <t>1.43E+04</t>
  </si>
  <si>
    <t>2.05E+04</t>
  </si>
  <si>
    <t>&lt;40</t>
  </si>
  <si>
    <t>2.03E+02</t>
  </si>
  <si>
    <t>1.11E+02</t>
  </si>
  <si>
    <t>2.82E-01</t>
  </si>
  <si>
    <t>3.03E+01</t>
  </si>
  <si>
    <t>7.52E-01</t>
  </si>
  <si>
    <t>9.71E-02</t>
  </si>
  <si>
    <t>9.55E-02</t>
  </si>
  <si>
    <t>1.61E-01</t>
  </si>
  <si>
    <t>1.83E-01</t>
  </si>
  <si>
    <t>5.02E-01</t>
  </si>
  <si>
    <t>1.18E-01</t>
  </si>
  <si>
    <t>7.10E-01</t>
  </si>
  <si>
    <t>9.65E-02</t>
  </si>
  <si>
    <t>1.51E-01</t>
  </si>
  <si>
    <t>2.09E-01</t>
  </si>
  <si>
    <t>3.51E-02</t>
  </si>
  <si>
    <t>7.82E-02</t>
  </si>
  <si>
    <t>8.58E-02</t>
  </si>
  <si>
    <t>1.82E-01</t>
  </si>
  <si>
    <t>8.76E-02</t>
  </si>
  <si>
    <t>3.39E-02</t>
  </si>
  <si>
    <t>8.72E-01</t>
  </si>
  <si>
    <t>8.15E-03</t>
  </si>
  <si>
    <t>5.58E+00</t>
  </si>
  <si>
    <t>2.70E+00</t>
  </si>
  <si>
    <t>1.72E-01</t>
  </si>
  <si>
    <t>8.68E+00</t>
  </si>
  <si>
    <t>6.60E+02</t>
  </si>
  <si>
    <t>&lt;0,01</t>
  </si>
  <si>
    <t>&lt;0,1</t>
  </si>
  <si>
    <t>6.40E-02</t>
  </si>
  <si>
    <t>2.90E-02</t>
  </si>
  <si>
    <t>7.37E+03</t>
  </si>
  <si>
    <t>8.68E+01</t>
  </si>
  <si>
    <t>3.04E+01</t>
  </si>
  <si>
    <t>2.92E+01</t>
  </si>
  <si>
    <t>2.46E+00</t>
  </si>
  <si>
    <t>1.56E+00</t>
  </si>
  <si>
    <t>2.55E+00</t>
  </si>
  <si>
    <t>1.24E+00</t>
  </si>
  <si>
    <t>9.18E+01</t>
  </si>
  <si>
    <t>3.81E+01</t>
  </si>
  <si>
    <t>4.00E+03</t>
  </si>
  <si>
    <t>4.44E+00</t>
  </si>
  <si>
    <t>3.72E+01</t>
  </si>
  <si>
    <t>3.19E+00</t>
  </si>
  <si>
    <t>1.43E+03</t>
  </si>
  <si>
    <t>1.05E+03</t>
  </si>
  <si>
    <t>8.86E+01</t>
  </si>
  <si>
    <t>4.64E+01</t>
  </si>
  <si>
    <t>1.21E+03</t>
  </si>
  <si>
    <t>5.25E+03</t>
  </si>
  <si>
    <t>9.68E+02</t>
  </si>
  <si>
    <t>1.18E+02</t>
  </si>
  <si>
    <t>5.64E-01</t>
  </si>
  <si>
    <t>8.35E-02</t>
  </si>
  <si>
    <t>1.68E-01</t>
  </si>
  <si>
    <t>3.39E+01</t>
  </si>
  <si>
    <t>7.61E-02</t>
  </si>
  <si>
    <t>1.67E-01</t>
  </si>
  <si>
    <t>4.09E+01</t>
  </si>
  <si>
    <t>1.20E+00</t>
  </si>
  <si>
    <t>1.50E-01</t>
  </si>
  <si>
    <t>1.17E+01</t>
  </si>
  <si>
    <t>4.82E-01</t>
  </si>
  <si>
    <t>6.86E-02</t>
  </si>
  <si>
    <t>9.73E+00</t>
  </si>
  <si>
    <t>2.11E-01</t>
  </si>
  <si>
    <t>3.33E-02</t>
  </si>
  <si>
    <t>8.05E+01</t>
  </si>
  <si>
    <t>3.49E-02</t>
  </si>
  <si>
    <t>6.12E-02</t>
  </si>
  <si>
    <t>2.65E-02</t>
  </si>
  <si>
    <t>1.37E+00</t>
  </si>
  <si>
    <t>1.93E+00</t>
  </si>
  <si>
    <t>3.30E-02</t>
  </si>
  <si>
    <t>1.56E-02</t>
  </si>
  <si>
    <t>5.38E-01</t>
  </si>
  <si>
    <t>2.35E-01</t>
  </si>
  <si>
    <t>1.74E+00</t>
  </si>
  <si>
    <t>7.44E+02</t>
  </si>
  <si>
    <t>5.17E-01</t>
  </si>
  <si>
    <t>9.04E-02</t>
  </si>
  <si>
    <t>1.17E+03</t>
  </si>
  <si>
    <t>6.77E-02</t>
  </si>
  <si>
    <t>2.09E-02</t>
  </si>
  <si>
    <t>6.60E-02</t>
  </si>
  <si>
    <t>2.47E+02</t>
  </si>
  <si>
    <t>4.52E-02</t>
  </si>
  <si>
    <t>2.24E-02</t>
  </si>
  <si>
    <t>1.54E-01</t>
  </si>
  <si>
    <t>6.69E-01</t>
  </si>
  <si>
    <t>1.07E-01</t>
  </si>
  <si>
    <t>2.26E-01</t>
  </si>
  <si>
    <t>1.28E+02</t>
  </si>
  <si>
    <t>1.66E+03</t>
  </si>
  <si>
    <t>1.61E+02</t>
  </si>
  <si>
    <t>3.54E+04</t>
  </si>
  <si>
    <t>3.72E+04</t>
  </si>
  <si>
    <t>NON ELABORATA</t>
  </si>
  <si>
    <t>CROMO TOTALE</t>
  </si>
  <si>
    <t>MERCURIO</t>
  </si>
  <si>
    <t>STAGNO</t>
  </si>
  <si>
    <t>DIBENZO(A,J)PIRENE</t>
  </si>
  <si>
    <t>TOLUENE</t>
  </si>
  <si>
    <t>ALIFATICI C9-C12</t>
  </si>
  <si>
    <t>SOMMATORIA PCB</t>
  </si>
  <si>
    <t>PCB DL</t>
  </si>
  <si>
    <t>PCB TOT</t>
  </si>
  <si>
    <t>SOMMATORIA PCDD, PCDF</t>
  </si>
  <si>
    <t>113</t>
  </si>
  <si>
    <t>3.21</t>
  </si>
  <si>
    <t>522</t>
  </si>
  <si>
    <t>1.38</t>
  </si>
  <si>
    <t>valore massimo assegnato al Mercurio elementare nei percorsi di inalazione e Cloruro di mercurio nel percorso di lisciviazione</t>
  </si>
  <si>
    <t>594</t>
  </si>
  <si>
    <t>606</t>
  </si>
  <si>
    <t>21</t>
  </si>
  <si>
    <t>1.71</t>
  </si>
  <si>
    <t>105</t>
  </si>
  <si>
    <t>1000</t>
  </si>
  <si>
    <t>189</t>
  </si>
  <si>
    <t>19.7</t>
  </si>
  <si>
    <t>17.8</t>
  </si>
  <si>
    <t>26.6</t>
  </si>
  <si>
    <t>8.34</t>
  </si>
  <si>
    <t>6.09</t>
  </si>
  <si>
    <t>16.1</t>
  </si>
  <si>
    <t>3.14</t>
  </si>
  <si>
    <t>3.07</t>
  </si>
  <si>
    <t>5.12</t>
  </si>
  <si>
    <t>1.93</t>
  </si>
  <si>
    <t>valore massimo (ARPAC)</t>
  </si>
  <si>
    <t>1.83</t>
  </si>
  <si>
    <t>20.2</t>
  </si>
  <si>
    <t>6.94</t>
  </si>
  <si>
    <t>44.2</t>
  </si>
  <si>
    <t>0.55</t>
  </si>
  <si>
    <t>62</t>
  </si>
  <si>
    <t>100% Idrocarburi C≤12 (speciazione campione S6-PZ(ARS)5_0-1m da p.c.)</t>
  </si>
  <si>
    <t>1661</t>
  </si>
  <si>
    <t>86</t>
  </si>
  <si>
    <t>5,2% Idrocarburi C&gt;12 (speciazione campione S6-PZ(ARS)5_0-1m da p.c.)</t>
  </si>
  <si>
    <t>852</t>
  </si>
  <si>
    <t>51,3% Idrocarburi C&gt;12 (speciazione campione S6-PZ(ARS)5_0-1m da p.c.)</t>
  </si>
  <si>
    <t>723</t>
  </si>
  <si>
    <t>43,5% Idrocarburi C&gt;12 (speciazione campione S6-PZ(ARS)5_0-1m da p.c.)</t>
  </si>
  <si>
    <t>23.8</t>
  </si>
  <si>
    <t>1.9434</t>
  </si>
  <si>
    <t>valore massimo della sommatoria dei congeneri DL</t>
  </si>
  <si>
    <t>pari a sommatoria PCB</t>
  </si>
  <si>
    <t>0.000629</t>
  </si>
  <si>
    <t>concentrazione attribuita interamente al congenere di riferimento 2,3,7,8-TCDD</t>
  </si>
  <si>
    <t>29</t>
  </si>
  <si>
    <t>2</t>
  </si>
  <si>
    <t>150</t>
  </si>
  <si>
    <t>1</t>
  </si>
  <si>
    <t>103</t>
  </si>
  <si>
    <t>120</t>
  </si>
  <si>
    <t>14</t>
  </si>
  <si>
    <t>100</t>
  </si>
  <si>
    <t>158</t>
  </si>
  <si>
    <t>5</t>
  </si>
  <si>
    <t>10</t>
  </si>
  <si>
    <t>50</t>
  </si>
  <si>
    <t>0.06</t>
  </si>
  <si>
    <t>1.32E-01</t>
  </si>
  <si>
    <t>2.20E-02</t>
  </si>
  <si>
    <r>
      <t>Rischi sanitari associati alle C</t>
    </r>
    <r>
      <rPr>
        <b/>
        <vertAlign val="subscript"/>
        <sz val="11"/>
        <color theme="1"/>
        <rFont val="Calibri"/>
        <family val="2"/>
        <scheme val="minor"/>
      </rPr>
      <t>RS</t>
    </r>
    <r>
      <rPr>
        <b/>
        <sz val="11"/>
        <color theme="1"/>
        <rFont val="Calibri"/>
        <family val="2"/>
        <scheme val="minor"/>
      </rPr>
      <t xml:space="preserve"> (valutazione in modalità diretta - outdoor on site)</t>
    </r>
  </si>
  <si>
    <t>6.51E-03</t>
  </si>
  <si>
    <t xml:space="preserve">2.17E-03 </t>
  </si>
  <si>
    <t>1.78E-05</t>
  </si>
  <si>
    <t>8.91E-06</t>
  </si>
  <si>
    <t xml:space="preserve">2.97E-06 </t>
  </si>
  <si>
    <t>4.55E-0</t>
  </si>
  <si>
    <t>2.28E-02</t>
  </si>
  <si>
    <t xml:space="preserve">7.59E-03 </t>
  </si>
  <si>
    <t>1.91E-0</t>
  </si>
  <si>
    <t xml:space="preserve"> 9.53E-02</t>
  </si>
  <si>
    <t xml:space="preserve">3.18E-02 </t>
  </si>
  <si>
    <t>TOTALE (31 COCs)</t>
  </si>
  <si>
    <t>TOTALE (38 COCs)</t>
  </si>
  <si>
    <t>2.32E+03</t>
  </si>
  <si>
    <t>1.44E+02</t>
  </si>
  <si>
    <t>2.53E+01</t>
  </si>
  <si>
    <t>1.76E+01</t>
  </si>
  <si>
    <t>2.59E+00</t>
  </si>
  <si>
    <t>1.11E+01</t>
  </si>
  <si>
    <t>4.05E-03</t>
  </si>
  <si>
    <t>2.86E-03</t>
  </si>
  <si>
    <t>1.03E+00</t>
  </si>
  <si>
    <t>8.98E+02</t>
  </si>
  <si>
    <t>1.20E+01</t>
  </si>
  <si>
    <t>4.85E+00</t>
  </si>
  <si>
    <t>5.38E+00</t>
  </si>
  <si>
    <t>1.75E+00</t>
  </si>
  <si>
    <t>4.31E+00</t>
  </si>
  <si>
    <t>2.49E-01</t>
  </si>
  <si>
    <t>7.87E-02</t>
  </si>
  <si>
    <t>2.10E-01</t>
  </si>
  <si>
    <t>1.74E-01</t>
  </si>
  <si>
    <t>1.04E+04</t>
  </si>
  <si>
    <t>2.99E+02</t>
  </si>
  <si>
    <t>7.55E+01</t>
  </si>
  <si>
    <t>6.05E+01</t>
  </si>
  <si>
    <t>5.00E+00</t>
  </si>
  <si>
    <t>9.58E+03</t>
  </si>
  <si>
    <t>1.48E+02</t>
  </si>
  <si>
    <t>2.57E+01</t>
  </si>
  <si>
    <t>8.97E+01</t>
  </si>
  <si>
    <t>7.92E+00</t>
  </si>
  <si>
    <t>5.80E+01</t>
  </si>
  <si>
    <t>n.d.</t>
  </si>
  <si>
    <t>2.36E+00</t>
  </si>
  <si>
    <t>2.00E-02</t>
  </si>
  <si>
    <t>8.69E-03</t>
  </si>
  <si>
    <t>1.78E+03</t>
  </si>
  <si>
    <t>8.49E+01</t>
  </si>
  <si>
    <t>1.28E+01</t>
  </si>
  <si>
    <t>2.64E+01</t>
  </si>
  <si>
    <t>2.23E+00</t>
  </si>
  <si>
    <t>1.28E+06</t>
  </si>
  <si>
    <t>5.96E+02</t>
  </si>
  <si>
    <t>1.63E+02</t>
  </si>
  <si>
    <t>1.32E+02</t>
  </si>
  <si>
    <t>3.13E+01</t>
  </si>
  <si>
    <t>8.69E+02</t>
  </si>
  <si>
    <t>5.74E+03</t>
  </si>
  <si>
    <t>9.70E+02</t>
  </si>
  <si>
    <t>1.56E+03</t>
  </si>
  <si>
    <t>1.16E+03</t>
  </si>
  <si>
    <t>7.68E+01</t>
  </si>
  <si>
    <t>7.84E-01</t>
  </si>
  <si>
    <t>1.49E+00</t>
  </si>
  <si>
    <t>1.93E-01</t>
  </si>
  <si>
    <t>8.49E-01</t>
  </si>
  <si>
    <t>1.05E-01</t>
  </si>
  <si>
    <t>3.06E+01</t>
  </si>
  <si>
    <t>2.90E+00</t>
  </si>
  <si>
    <t>2.50E-01</t>
  </si>
  <si>
    <t>8.58E-01</t>
  </si>
  <si>
    <t>4.13E-01</t>
  </si>
  <si>
    <t>3.64E+00</t>
  </si>
  <si>
    <t>1.06E-01</t>
  </si>
  <si>
    <t>5.04E-01</t>
  </si>
  <si>
    <t>6.83E-02</t>
  </si>
  <si>
    <t>7.16E+00</t>
  </si>
  <si>
    <t>6.61E-01</t>
  </si>
  <si>
    <t>9.06E-02</t>
  </si>
  <si>
    <t>2.31E-01</t>
  </si>
  <si>
    <t>3.69E-02</t>
  </si>
  <si>
    <t>6.14E+01</t>
  </si>
  <si>
    <t>1.76E-01</t>
  </si>
  <si>
    <t>5.66E-01</t>
  </si>
  <si>
    <t>1.78E-01</t>
  </si>
  <si>
    <t>3.34E-01</t>
  </si>
  <si>
    <t>1.37E-01</t>
  </si>
  <si>
    <t>6.22E-02</t>
  </si>
  <si>
    <t>1.11E+00</t>
  </si>
  <si>
    <t>2.65E-01</t>
  </si>
  <si>
    <t>5.15E-02</t>
  </si>
  <si>
    <t>4.15E-02</t>
  </si>
  <si>
    <t>1.69E-02</t>
  </si>
  <si>
    <t>1.47E-01</t>
  </si>
  <si>
    <t>1.56E-01</t>
  </si>
  <si>
    <t>6.97E-02</t>
  </si>
  <si>
    <t>5.53E-02</t>
  </si>
  <si>
    <t>5.29E-02</t>
  </si>
  <si>
    <t>3.80E-02</t>
  </si>
  <si>
    <t>7.15E+00</t>
  </si>
  <si>
    <t>9.67E-01</t>
  </si>
  <si>
    <t>1.23E-01</t>
  </si>
  <si>
    <t>3.78E+02</t>
  </si>
  <si>
    <t>1.73E+00</t>
  </si>
  <si>
    <t>1.35E-01</t>
  </si>
  <si>
    <t>8.87E-01</t>
  </si>
  <si>
    <t>1.80E-01</t>
  </si>
  <si>
    <t>3.39E+02</t>
  </si>
  <si>
    <t>1.64E-01</t>
  </si>
  <si>
    <t>2.66E-02</t>
  </si>
  <si>
    <t>2.79E-01</t>
  </si>
  <si>
    <t>1.11E-01</t>
  </si>
  <si>
    <t>5.49E+02</t>
  </si>
  <si>
    <t>2.28E+00</t>
  </si>
  <si>
    <t>1.39E-01</t>
  </si>
  <si>
    <t>2.21E+00</t>
  </si>
  <si>
    <t>8.00E-02</t>
  </si>
  <si>
    <t>6.18E+01</t>
  </si>
  <si>
    <t>8.57E+01</t>
  </si>
  <si>
    <t>1.48E+00</t>
  </si>
  <si>
    <t>9.89E+04</t>
  </si>
  <si>
    <t>1.06E+01</t>
  </si>
  <si>
    <t>2.10E+02</t>
  </si>
  <si>
    <t>1.74E-04</t>
  </si>
  <si>
    <t>&lt;0,004</t>
  </si>
  <si>
    <t>5.40E-07</t>
  </si>
  <si>
    <t>3.28E-04</t>
  </si>
  <si>
    <t>9.90E+04</t>
  </si>
  <si>
    <t>2.46E+02</t>
  </si>
  <si>
    <t>1.42E+02</t>
  </si>
  <si>
    <t>15.1</t>
  </si>
  <si>
    <t>59.7</t>
  </si>
  <si>
    <t>54.4</t>
  </si>
  <si>
    <t>78.9</t>
  </si>
  <si>
    <t>19.1</t>
  </si>
  <si>
    <t>56.5</t>
  </si>
  <si>
    <t>8.75</t>
  </si>
  <si>
    <t>14.4</t>
  </si>
  <si>
    <t>5.62</t>
  </si>
  <si>
    <t>2.72</t>
  </si>
  <si>
    <t>16.8</t>
  </si>
  <si>
    <t>12.9</t>
  </si>
  <si>
    <t>0.101</t>
  </si>
  <si>
    <t>15.9</t>
  </si>
  <si>
    <t>frazione MADEP maggiormente cautelativa nei percorsi di esposizione di inalazione outdoor e lisciviazione</t>
  </si>
  <si>
    <t>11,9% Idrocarburi C&gt;12 (speciazione campione S6/10-PZ(ARS)4_1-1,7 m da p.c.)</t>
  </si>
  <si>
    <t>72,4% Idrocarburi C&gt;12 (speciazione campione S6/10-PZ(ARS)4_1-1,7 m da p.c.)</t>
  </si>
  <si>
    <t>15,7% Idrocarburi C&gt;12 (speciazione campione S6/10-PZ(ARS)4_1-1,7 m da p.c.)</t>
  </si>
  <si>
    <t>TOTALE (32 COCs)</t>
  </si>
  <si>
    <t>Lisciviazione e trasporto dei contaminanti verso il mare 
( 195m lungo la direzione della falda)</t>
  </si>
  <si>
    <t>2.20E-01</t>
  </si>
  <si>
    <t>1.70E+01</t>
  </si>
  <si>
    <t>3.37E+00</t>
  </si>
  <si>
    <t>1.31E+00</t>
  </si>
  <si>
    <t>4.21E+03</t>
  </si>
  <si>
    <t>1.12E+02</t>
  </si>
  <si>
    <t>2.48E+01</t>
  </si>
  <si>
    <t>4.09E+03</t>
  </si>
  <si>
    <t>3.29E+02</t>
  </si>
  <si>
    <t>5.43E+01</t>
  </si>
  <si>
    <t>7.70E+03</t>
  </si>
  <si>
    <t>3.17E+02</t>
  </si>
  <si>
    <t>3.64E+01</t>
  </si>
  <si>
    <t>4.16E+01</t>
  </si>
  <si>
    <t>1.72E+01</t>
  </si>
  <si>
    <t>5.82E-02</t>
  </si>
  <si>
    <t>1.35E+06</t>
  </si>
  <si>
    <t>5.42E+02</t>
  </si>
  <si>
    <t>9.76E+01</t>
  </si>
  <si>
    <t>1.03E+03</t>
  </si>
  <si>
    <t>5.39E+03</t>
  </si>
  <si>
    <t>1.91E+03</t>
  </si>
  <si>
    <t>2.32E+02</t>
  </si>
  <si>
    <t>3.75E+00</t>
  </si>
  <si>
    <t>6.39E+01</t>
  </si>
  <si>
    <t>3.92E+00</t>
  </si>
  <si>
    <t>7.22E-01</t>
  </si>
  <si>
    <t>9.09E+01</t>
  </si>
  <si>
    <t>5.99E+00</t>
  </si>
  <si>
    <t>1.13E+00</t>
  </si>
  <si>
    <t>1.05E+01</t>
  </si>
  <si>
    <t>2.19E+00</t>
  </si>
  <si>
    <t>4.10E-01</t>
  </si>
  <si>
    <t>2.24E+01</t>
  </si>
  <si>
    <t>1.08E+00</t>
  </si>
  <si>
    <t>2.68E-01</t>
  </si>
  <si>
    <t>2.15E+02</t>
  </si>
  <si>
    <t>2.08E+00</t>
  </si>
  <si>
    <t>5.68E-01</t>
  </si>
  <si>
    <t>9.58E-01</t>
  </si>
  <si>
    <t>3.96E-01</t>
  </si>
  <si>
    <t>1.10E-01</t>
  </si>
  <si>
    <t>4.12E-01</t>
  </si>
  <si>
    <t>9.83E-01</t>
  </si>
  <si>
    <t>2.02E+01</t>
  </si>
  <si>
    <t>1.29E+03</t>
  </si>
  <si>
    <t>5.20E+00</t>
  </si>
  <si>
    <t>8.10E+02</t>
  </si>
  <si>
    <t>7.60E-01</t>
  </si>
  <si>
    <t>1.31E-01</t>
  </si>
  <si>
    <t>5.36E+02</t>
  </si>
  <si>
    <t>9.26E-01</t>
  </si>
  <si>
    <t>1.90E-01</t>
  </si>
  <si>
    <t>1.59E+00</t>
  </si>
  <si>
    <t>8.15E-02</t>
  </si>
  <si>
    <t>1.92E+03</t>
  </si>
  <si>
    <t>7.44E+00</t>
  </si>
  <si>
    <t>1.02E-01</t>
  </si>
  <si>
    <t>6.59E-02</t>
  </si>
  <si>
    <t xml:space="preserve"> </t>
  </si>
  <si>
    <t>5.47E+03</t>
  </si>
  <si>
    <t>1.09E+02</t>
  </si>
  <si>
    <t>1.14E+00</t>
  </si>
  <si>
    <t>1.89E+04</t>
  </si>
  <si>
    <t>2.45E+04</t>
  </si>
  <si>
    <t>Colmata</t>
  </si>
  <si>
    <t>Materiale da riporto</t>
  </si>
  <si>
    <t>ANTIMONIO</t>
  </si>
  <si>
    <t>COBALTO</t>
  </si>
  <si>
    <t>8.9</t>
  </si>
  <si>
    <t>NICHEL</t>
  </si>
  <si>
    <t>8.7</t>
  </si>
  <si>
    <t>BENZO(a)ANTRACENE</t>
  </si>
  <si>
    <t>BENZO(a)PIRENE</t>
  </si>
  <si>
    <t>BENZO(b)FLUORANTENE</t>
  </si>
  <si>
    <t>BENZO(g,h,i)PERILENE</t>
  </si>
  <si>
    <t>BENZO(k)FLUORANTENE</t>
  </si>
  <si>
    <t>DIBENZO(a,e)PIRENE</t>
  </si>
  <si>
    <t>DIBENZO(a,h)ANTRACENE</t>
  </si>
  <si>
    <t>DIBENZO(a,h)PIRENE</t>
  </si>
  <si>
    <t>DIBENZO(a,i)PIRENE</t>
  </si>
  <si>
    <t>5.6</t>
  </si>
  <si>
    <t>DIBENZO(a,l)PIRENE</t>
  </si>
  <si>
    <t>0.39</t>
  </si>
  <si>
    <t>ALIFATICI C13 - C22</t>
  </si>
  <si>
    <t>6.39E+02</t>
  </si>
  <si>
    <t xml:space="preserve">EF= 350 d/y </t>
  </si>
  <si>
    <t>NO</t>
  </si>
  <si>
    <t>Bw= 15
AT=70 y
ED=6
EF= 350 d/y</t>
  </si>
  <si>
    <t>Bw= 70
AT=70 y
ED=24
EF= 350 d/y</t>
  </si>
  <si>
    <t>5.53E+01</t>
  </si>
  <si>
    <t>8.60E-01</t>
  </si>
  <si>
    <t>1.52E+02</t>
  </si>
  <si>
    <t>1.71E+02</t>
  </si>
  <si>
    <t>2.51E+01</t>
  </si>
  <si>
    <t>3.85E+00</t>
  </si>
  <si>
    <t>6.60E-01</t>
  </si>
  <si>
    <t>3.30E-01</t>
  </si>
  <si>
    <t>2.90E+01</t>
  </si>
  <si>
    <t>8.31E+00</t>
  </si>
  <si>
    <t>7.10E+00</t>
  </si>
  <si>
    <t>1.47E+00</t>
  </si>
  <si>
    <t>8.96E+01</t>
  </si>
  <si>
    <t>2.10E+00</t>
  </si>
  <si>
    <t>1.52E+00</t>
  </si>
  <si>
    <t>3.60E-01</t>
  </si>
  <si>
    <t>5.35E-04</t>
  </si>
  <si>
    <t>5.61E+00</t>
  </si>
  <si>
    <t>5.60E+00</t>
  </si>
  <si>
    <t>9.10E-01</t>
  </si>
  <si>
    <t>3.98E-01</t>
  </si>
  <si>
    <t>1.60E-01</t>
  </si>
  <si>
    <t>5.37E+02</t>
  </si>
  <si>
    <t>7.60E+00</t>
  </si>
  <si>
    <t>5.63E+00</t>
  </si>
  <si>
    <t>2.33E+01</t>
  </si>
  <si>
    <t>5.62E+00</t>
  </si>
  <si>
    <t>4.62E+01</t>
  </si>
  <si>
    <t>5.62E+02</t>
  </si>
  <si>
    <t>3.46E+00</t>
  </si>
  <si>
    <t>9.13E+02</t>
  </si>
  <si>
    <t>3.07E+02</t>
  </si>
  <si>
    <t>1.79E+01</t>
  </si>
  <si>
    <t>5.17E+00</t>
  </si>
  <si>
    <t>5.66E+01</t>
  </si>
  <si>
    <t>1.30E+01</t>
  </si>
  <si>
    <t>5.47E+00</t>
  </si>
  <si>
    <t>1.68E+00</t>
  </si>
  <si>
    <t>5.10E+01</t>
  </si>
  <si>
    <t>6.93E+00</t>
  </si>
  <si>
    <t>2.23E+01</t>
  </si>
  <si>
    <t>6.78E+02</t>
  </si>
  <si>
    <t>7.18E+01</t>
  </si>
  <si>
    <t>1.95E+00</t>
  </si>
  <si>
    <t>9.30E+02</t>
  </si>
  <si>
    <t>5.16E+01</t>
  </si>
  <si>
    <t>3.51E+02</t>
  </si>
  <si>
    <t>3.01E+01</t>
  </si>
  <si>
    <t>1.83E+01</t>
  </si>
  <si>
    <t>1.69E-01</t>
  </si>
  <si>
    <t>2.07E+00</t>
  </si>
  <si>
    <t>1.49E-01</t>
  </si>
  <si>
    <t>7.45E+00</t>
  </si>
  <si>
    <t>1.34E-01</t>
  </si>
  <si>
    <t>1.25E-01</t>
  </si>
  <si>
    <t>6.61E-02</t>
  </si>
  <si>
    <t>1.34E+01</t>
  </si>
  <si>
    <t>2.40E-01</t>
  </si>
  <si>
    <t>5.57E-02</t>
  </si>
  <si>
    <t>5.00E-02</t>
  </si>
  <si>
    <t>2.75E-01</t>
  </si>
  <si>
    <t>4.08E-02</t>
  </si>
  <si>
    <t>2.18E-02</t>
  </si>
  <si>
    <t>7.62E-03</t>
  </si>
  <si>
    <t>3.60E-02</t>
  </si>
  <si>
    <t>6.70E-03</t>
  </si>
  <si>
    <t>8.00E-03</t>
  </si>
  <si>
    <t>8.24E-01</t>
  </si>
  <si>
    <t>1.57E-01</t>
  </si>
  <si>
    <t>1.10E+02</t>
  </si>
  <si>
    <t>3.00E-01</t>
  </si>
  <si>
    <t>2.48E+03</t>
  </si>
  <si>
    <t>7.81E+00</t>
  </si>
  <si>
    <t>3.22E-01</t>
  </si>
  <si>
    <t>2.86E+00</t>
  </si>
  <si>
    <t>7.1</t>
  </si>
  <si>
    <t>3.3</t>
  </si>
  <si>
    <t>2.2</t>
  </si>
  <si>
    <t>1.5</t>
  </si>
  <si>
    <t>2.5</t>
  </si>
  <si>
    <t>0.75</t>
  </si>
  <si>
    <t>0.16</t>
  </si>
  <si>
    <t>0.26</t>
  </si>
  <si>
    <t>0.29</t>
  </si>
  <si>
    <t>0.23</t>
  </si>
  <si>
    <t>0.11</t>
  </si>
  <si>
    <t>0.79</t>
  </si>
  <si>
    <t>frazione MADEP maggiormente cautelativa nel percorso di esposizione di lisciviazione</t>
  </si>
  <si>
    <t>TOTALE (23 COCs)</t>
  </si>
  <si>
    <t>1.39E+02</t>
  </si>
  <si>
    <t>1.64E+02</t>
  </si>
  <si>
    <t>4.11E+01</t>
  </si>
  <si>
    <t>3.10E+00</t>
  </si>
  <si>
    <t>7.25E-01</t>
  </si>
  <si>
    <t>6.67E-03</t>
  </si>
  <si>
    <t>6.52E+02</t>
  </si>
  <si>
    <t>6.83E+01</t>
  </si>
  <si>
    <t>1.60E+00</t>
  </si>
  <si>
    <t>8.90E-01</t>
  </si>
  <si>
    <t>2.87E+01</t>
  </si>
  <si>
    <t>2.19E+02</t>
  </si>
  <si>
    <t>7.76E+01</t>
  </si>
  <si>
    <t>2.23E+02</t>
  </si>
  <si>
    <t>7.50E+01</t>
  </si>
  <si>
    <t>1.87E+01</t>
  </si>
  <si>
    <t>5.11E+00</t>
  </si>
  <si>
    <t>2.76E+00</t>
  </si>
  <si>
    <t>5.77E+02</t>
  </si>
  <si>
    <t>9.17E+01</t>
  </si>
  <si>
    <t>2.53E+02</t>
  </si>
  <si>
    <t>8.66E+01</t>
  </si>
  <si>
    <t>4.07E-01</t>
  </si>
  <si>
    <t>8.38E-02</t>
  </si>
  <si>
    <t>3.07E-02</t>
  </si>
  <si>
    <t>8.10E-04</t>
  </si>
  <si>
    <t>4.46E-03</t>
  </si>
  <si>
    <t>3.95E-04</t>
  </si>
  <si>
    <t>3.13E-04</t>
  </si>
  <si>
    <t>1.89E-03</t>
  </si>
  <si>
    <t>1.33E-02</t>
  </si>
  <si>
    <t>8.04E+03</t>
  </si>
  <si>
    <t>Acque sotterranee</t>
  </si>
  <si>
    <t>Inalazione di vapori outdoor</t>
  </si>
  <si>
    <t>Inalazione di vapori indoor</t>
  </si>
  <si>
    <t>Zona commerciale</t>
  </si>
  <si>
    <t>Inalazione polveri outdoor off-site</t>
  </si>
  <si>
    <t>Idrocarburi aromatici C11-C12</t>
  </si>
  <si>
    <t>0.64</t>
  </si>
  <si>
    <t>0.319</t>
  </si>
  <si>
    <t>valore massimo assegnato al Mercurio elementare nel percorso di inalazione</t>
  </si>
  <si>
    <t>Benzo(j)fluorantene</t>
  </si>
  <si>
    <t>0.114</t>
  </si>
  <si>
    <t>0.05</t>
  </si>
  <si>
    <t>0.0865</t>
  </si>
  <si>
    <t>0.01</t>
  </si>
  <si>
    <t>0.128</t>
  </si>
  <si>
    <t>0.012</t>
  </si>
  <si>
    <t>0.0633</t>
  </si>
  <si>
    <t>Idrocarburi totali come n-esano</t>
  </si>
  <si>
    <t>Alifatici C9-C12</t>
  </si>
  <si>
    <t>frazione MADEP maggiormente cautelativa nel percorso di esposizione di inalazione outdoor</t>
  </si>
  <si>
    <t>Berillio</t>
  </si>
  <si>
    <t>5.76</t>
  </si>
  <si>
    <t>Cobalto</t>
  </si>
  <si>
    <t>64.6</t>
  </si>
  <si>
    <t>Ferro</t>
  </si>
  <si>
    <t>Manganese</t>
  </si>
  <si>
    <t>4.12</t>
  </si>
  <si>
    <t>valore massimo assegnato al Mercurio elementare</t>
  </si>
  <si>
    <t>25.6</t>
  </si>
  <si>
    <t>Benzene</t>
  </si>
  <si>
    <t>Boro</t>
  </si>
  <si>
    <t>PCB totali</t>
  </si>
  <si>
    <t>0.238</t>
  </si>
  <si>
    <t>Percorso di Inalazione outdoor</t>
  </si>
  <si>
    <t>Tessitura terreno insaturo ; 
pH insaturo ;
Foc terreno insaturo</t>
  </si>
  <si>
    <t>TOTALE (19 COCs)</t>
  </si>
  <si>
    <t>9.68E-05</t>
  </si>
  <si>
    <t>5.42E-07</t>
  </si>
  <si>
    <t>2.14E-11</t>
  </si>
  <si>
    <t>2.13E-07</t>
  </si>
  <si>
    <t>9.76E-05</t>
  </si>
  <si>
    <t>5.1</t>
  </si>
  <si>
    <t>1.52</t>
  </si>
  <si>
    <t>2.29</t>
  </si>
  <si>
    <t>0.739</t>
  </si>
  <si>
    <t>1.06</t>
  </si>
  <si>
    <t>0.264</t>
  </si>
  <si>
    <t>Indeno(1,2,3-c,d)pirene</t>
  </si>
  <si>
    <t>1.35</t>
  </si>
  <si>
    <t>Sommatoria PCB</t>
  </si>
  <si>
    <t>0.4212</t>
  </si>
  <si>
    <t>0.147</t>
  </si>
  <si>
    <t>Idrocarburi C&gt;12</t>
  </si>
  <si>
    <t>La spazialità del dato è stata definita mediante suddivisione dell’area di indagine in poligoni di influenza, in funzione della strategia di campionamento adottata.
Poiché il piano di investigazione è stato di tipo ragionato, i poligoni sono stati costruiti mediante poligoni di Thiessen (diagrammi di Voronoi), utilizzando software dedicato, al fine di associare a ciascun punto di campionamento la porzione di territorio a esso più prossima.
Per ciascun poligono privo di superamenti delle Concentrazioni Soglia di Contaminazione (CSC) è stata effettuata un’analisi del vicinato, finalizzata alla definizione delle sorgenti di contaminazione. Un poligono è stato attribuito a una specifica sorgente quando:
risulta completamente circondato da poligoni con superamenti delle CSC;
l’analisi dei poligoni adiacenti evidenzia che la maggior parte di essi presenta superamenti delle CSC.</t>
  </si>
  <si>
    <t>TOTALE (45 COCs)</t>
  </si>
  <si>
    <t>8,6% Idrocarburi C&gt;12 (speciazione campione SA43_0-1 m da quota post-rimozione colmata)</t>
  </si>
  <si>
    <t>58,6% Idrocarburi C&gt;12 (speciazione campione SA43_0-1 m da quota post-rimozione colmata)</t>
  </si>
  <si>
    <t>32,8% Idrocarburi C&gt;12 (speciazione campione SA43_0-1 m da quota post-rimozione colmata)</t>
  </si>
  <si>
    <t>5,3% Idrocarburi C≤12 (speciazione campione SA37 0-1 m da quota post-rimozione colmata)</t>
  </si>
  <si>
    <t>68,6% Idrocarburi C≤12 (speciazione campione SA37 0-1 m da quota post-rimozione colmata)</t>
  </si>
  <si>
    <t>26,1% Idrocarburi C≤12 (speciazione campione SA37 0-1 m da quota post-rimozione colmata)</t>
  </si>
  <si>
    <t>Idrocarburi C≤12</t>
  </si>
  <si>
    <t>0.00001</t>
  </si>
  <si>
    <t>0.0000114</t>
  </si>
  <si>
    <t>Sommatoria PCDD, PCDF</t>
  </si>
  <si>
    <t>4.49</t>
  </si>
  <si>
    <t>Xilene</t>
  </si>
  <si>
    <t>0.727</t>
  </si>
  <si>
    <t>Toluene</t>
  </si>
  <si>
    <t>1.22</t>
  </si>
  <si>
    <t>Stirene</t>
  </si>
  <si>
    <t>0.298</t>
  </si>
  <si>
    <t>0.6952</t>
  </si>
  <si>
    <t>0.0389</t>
  </si>
  <si>
    <t>Naftalene</t>
  </si>
  <si>
    <t>Fluorene</t>
  </si>
  <si>
    <t>Fluorantene</t>
  </si>
  <si>
    <t>Fenantrene</t>
  </si>
  <si>
    <t>Antracene</t>
  </si>
  <si>
    <t>Acenaftilene</t>
  </si>
  <si>
    <t>Acenaftene</t>
  </si>
  <si>
    <t>60.9</t>
  </si>
  <si>
    <t>13.4</t>
  </si>
  <si>
    <t>1.11</t>
  </si>
  <si>
    <t>0.181</t>
  </si>
  <si>
    <t>0.14</t>
  </si>
  <si>
    <t>0.599</t>
  </si>
  <si>
    <t>55.1</t>
  </si>
  <si>
    <t>36.9</t>
  </si>
  <si>
    <t>89.1</t>
  </si>
  <si>
    <t>Tallio</t>
  </si>
  <si>
    <t>Stagno</t>
  </si>
  <si>
    <t>valore massimo - considerato nei calcoli il Cloruro di Mercurio</t>
  </si>
  <si>
    <t>1.47</t>
  </si>
  <si>
    <t>12.8</t>
  </si>
  <si>
    <t>Lisciviazione e trasporto dei contaminanti verso il mare 
( 343m lungo la direzione della falda)</t>
  </si>
  <si>
    <t>1.46E-04</t>
  </si>
  <si>
    <t>_</t>
  </si>
  <si>
    <t xml:space="preserve"> AROMATICI C13 - C2</t>
  </si>
  <si>
    <t>2.66E-05</t>
  </si>
  <si>
    <t xml:space="preserve">  ALIFATICI C19 - C36 </t>
  </si>
  <si>
    <t>1.18E-06</t>
  </si>
  <si>
    <t xml:space="preserve"> ALIFATICI C13 - C18</t>
  </si>
  <si>
    <t xml:space="preserve">1.18E-04
</t>
  </si>
  <si>
    <t xml:space="preserve">Inalazione vapori outdoor (solo per C volatili) </t>
  </si>
  <si>
    <t xml:space="preserve">IDROCARBURI C&gt;12 </t>
  </si>
  <si>
    <t>Hot-Spots idrocarburi</t>
  </si>
  <si>
    <t>Sedimenti sotto colmata</t>
  </si>
  <si>
    <t>1.19E+02</t>
  </si>
  <si>
    <t>1.28E+03</t>
  </si>
  <si>
    <t>2.13E-01</t>
  </si>
  <si>
    <t>4.57E-02</t>
  </si>
  <si>
    <t>2.73E-02</t>
  </si>
  <si>
    <t>5.46E-03</t>
  </si>
  <si>
    <t>4.97E-02</t>
  </si>
  <si>
    <t>2.22E-01</t>
  </si>
  <si>
    <t>1.01E-01</t>
  </si>
  <si>
    <t>3.39E-01</t>
  </si>
  <si>
    <t>4.79E+02</t>
  </si>
  <si>
    <t>4.45E+01</t>
  </si>
  <si>
    <t>3.27E+02</t>
  </si>
  <si>
    <t>2.36E+02</t>
  </si>
  <si>
    <t>2.81E+01</t>
  </si>
  <si>
    <t>1.68E+02</t>
  </si>
  <si>
    <t>6.55E+02</t>
  </si>
  <si>
    <t>1.83E+00</t>
  </si>
  <si>
    <t>1.87E+00</t>
  </si>
  <si>
    <t>2.68E+00</t>
  </si>
  <si>
    <t>1.00E+03</t>
  </si>
  <si>
    <t>6.26E+01</t>
  </si>
  <si>
    <t xml:space="preserve">NESSUN RISCHIO ASSOCIATO AI CONTAMINANTI NONOSTANTE LA PRESENZA DEI PERCORSI DI ESPOSIZIONE E DELLA SEZIONE DEDICATA </t>
  </si>
  <si>
    <t>Porzione insatura</t>
  </si>
  <si>
    <t>Porzione satura</t>
  </si>
  <si>
    <t>7.92E+03</t>
  </si>
  <si>
    <t>4.28E+02</t>
  </si>
  <si>
    <t>9.90E+01</t>
  </si>
  <si>
    <t>2.38E+01</t>
  </si>
  <si>
    <t>6.00E+00</t>
  </si>
  <si>
    <t>1.15E+00</t>
  </si>
  <si>
    <t>5.32E-01</t>
  </si>
  <si>
    <t>9.74E+04</t>
  </si>
  <si>
    <t>8.85E+02</t>
  </si>
  <si>
    <t>1.34E+02</t>
  </si>
  <si>
    <t>1.50E+03</t>
  </si>
  <si>
    <t>2.68E+02</t>
  </si>
  <si>
    <t>6.31E+00</t>
  </si>
  <si>
    <t>2.83E-01</t>
  </si>
  <si>
    <t>7.63E-02</t>
  </si>
  <si>
    <t>1.39E+00</t>
  </si>
  <si>
    <t>1.25E+04</t>
  </si>
  <si>
    <t>6.34E+02</t>
  </si>
  <si>
    <t>6.47E+01</t>
  </si>
  <si>
    <t>2.29E+05</t>
  </si>
  <si>
    <t>1.64E+03</t>
  </si>
  <si>
    <t>3.25E+02</t>
  </si>
  <si>
    <t>2.50E+01</t>
  </si>
  <si>
    <t>7.12E+00</t>
  </si>
  <si>
    <t>2.48E+00</t>
  </si>
  <si>
    <t>1.38E+00</t>
  </si>
  <si>
    <t>2.20E+01</t>
  </si>
  <si>
    <t>2.43E-01</t>
  </si>
  <si>
    <t>3.65E-03</t>
  </si>
  <si>
    <t>2.89E-03</t>
  </si>
  <si>
    <t>2.97E-04</t>
  </si>
  <si>
    <t>1.82E-03</t>
  </si>
  <si>
    <t>2.77E-01</t>
  </si>
  <si>
    <t>1.23E+00</t>
  </si>
  <si>
    <t>8.86E+02</t>
  </si>
  <si>
    <t>3.42E-02</t>
  </si>
  <si>
    <t>3.13E+02</t>
  </si>
  <si>
    <t>3.47E-02</t>
  </si>
  <si>
    <t>3.06E+02</t>
  </si>
  <si>
    <t>5.73E-02</t>
  </si>
  <si>
    <t>3.35E-01</t>
  </si>
  <si>
    <t>7.69E-02</t>
  </si>
  <si>
    <t>2.11E+02</t>
  </si>
  <si>
    <t>1.86E-01</t>
  </si>
  <si>
    <t>4.29E+02</t>
  </si>
  <si>
    <t>5.88E-02</t>
  </si>
  <si>
    <t>6.84E+03</t>
  </si>
  <si>
    <t>5.45E-02</t>
  </si>
  <si>
    <t>3.63E-01</t>
  </si>
  <si>
    <t>1.21E-02</t>
  </si>
  <si>
    <t>3.51E-01</t>
  </si>
  <si>
    <t>4.03E+01</t>
  </si>
  <si>
    <t>8.17E+01</t>
  </si>
  <si>
    <t>7.53E+01</t>
  </si>
  <si>
    <t>2.00E-01</t>
  </si>
  <si>
    <t>8.94E-02</t>
  </si>
  <si>
    <t>3.35E+02</t>
  </si>
  <si>
    <t>6.32E-01</t>
  </si>
  <si>
    <t>1.81E-06</t>
  </si>
  <si>
    <t>3.80E-06</t>
  </si>
  <si>
    <t>4.73E-04</t>
  </si>
  <si>
    <t>4.34E+00</t>
  </si>
  <si>
    <t>1.74E+02</t>
  </si>
  <si>
    <t>5.33E-01</t>
  </si>
  <si>
    <t>6.07E+03</t>
  </si>
  <si>
    <t>6.71E+03</t>
  </si>
  <si>
    <t>la tabella potrebbe avere due evoluzioni: la prima è di sintesi, perfezionabile nel momento in cui si inizia lo studio delle AdR degli altri SIN, ottenendo una descrizione più sommaria e principalmente finalizzata alla valutazione comparativa. In questo caso si creano delle colonne tali da comparare gli elementi di sintesi di ciascuna AdR, riportando ad esempio i COCs totali, percorsi di esposizione valutati per ciascuna matrice, ecc...  la seconda evoluzione potrebbe delineare una specifica ed approfondita descrizione dell'analisi di rischio sito-specifica, arrivando ad un grado di dettaglio dove si riporta per ciascun contaminante il percorso di esposizione individuato.</t>
  </si>
  <si>
    <t>Tossicologia dei contaminanti</t>
  </si>
  <si>
    <t>Risk-Net 3.2 Pro</t>
  </si>
  <si>
    <t xml:space="preserve">Risk-Net 3.2 Pro </t>
  </si>
  <si>
    <t xml:space="preserve">Risk-Net 3.2 Pro 
</t>
  </si>
  <si>
    <t>Risk-Net 3.2 Pro
 (Simulazione completa all.15 )</t>
  </si>
  <si>
    <t>Bersagli</t>
  </si>
  <si>
    <t>ON-SITE</t>
  </si>
  <si>
    <t>POC=0</t>
  </si>
  <si>
    <t xml:space="preserve">ON-SITE
</t>
  </si>
  <si>
    <t>POC=1</t>
  </si>
  <si>
    <t xml:space="preserve">ON-SITE
</t>
  </si>
  <si>
    <t>Predittività sanitaria</t>
  </si>
  <si>
    <t>Macrodescrittori</t>
  </si>
  <si>
    <t>Descrittori</t>
  </si>
  <si>
    <t>Caratt. contaminanti</t>
  </si>
  <si>
    <t>Metodica</t>
  </si>
  <si>
    <t>Tipologia</t>
  </si>
  <si>
    <t>AdR Diretta</t>
  </si>
  <si>
    <t>AdR diretta (R,HI,Rfd)</t>
  </si>
  <si>
    <t>Risk Based Corrective Action (RBCA) - Livello 2</t>
  </si>
  <si>
    <t>Inalazione vapori outdoor</t>
  </si>
  <si>
    <t>Caratteristiche quali-quantitative (qualitativa per valutazione comparativa)</t>
  </si>
  <si>
    <t>Scenari di esposizione</t>
  </si>
  <si>
    <t>Lisciviazione e trasporto  in falda</t>
  </si>
  <si>
    <t>COCs</t>
  </si>
  <si>
    <t>Crs</t>
  </si>
  <si>
    <t>Valore massimo sito-specifico o banca dati ISS-INAIL-ARPAC</t>
  </si>
  <si>
    <t>Disponibilità valori limite</t>
  </si>
  <si>
    <t>25/31</t>
  </si>
  <si>
    <t>Fisico-chimiche</t>
  </si>
  <si>
    <t>Biologiche</t>
  </si>
  <si>
    <r>
      <t>R</t>
    </r>
    <r>
      <rPr>
        <b/>
        <vertAlign val="subscript"/>
        <sz val="11"/>
        <color theme="1"/>
        <rFont val="Calibri"/>
        <family val="2"/>
        <scheme val="minor"/>
      </rPr>
      <t>tot</t>
    </r>
  </si>
  <si>
    <r>
      <t>HI</t>
    </r>
    <r>
      <rPr>
        <b/>
        <vertAlign val="subscript"/>
        <sz val="11"/>
        <color theme="1"/>
        <rFont val="Calibri"/>
        <family val="2"/>
        <scheme val="minor"/>
      </rPr>
      <t>tot</t>
    </r>
  </si>
  <si>
    <r>
      <t>Rischi sanitari associati alle C</t>
    </r>
    <r>
      <rPr>
        <b/>
        <vertAlign val="subscript"/>
        <sz val="11"/>
        <color theme="1"/>
        <rFont val="Calibri"/>
        <family val="2"/>
        <scheme val="minor"/>
      </rPr>
      <t>RS</t>
    </r>
    <r>
      <rPr>
        <b/>
        <sz val="11"/>
        <color theme="1"/>
        <rFont val="Calibri"/>
        <family val="2"/>
        <scheme val="minor"/>
      </rPr>
      <t xml:space="preserve"> (v</t>
    </r>
  </si>
  <si>
    <t>Estensione</t>
  </si>
  <si>
    <t>Combinazione</t>
  </si>
  <si>
    <t xml:space="preserve">additività rischio e additività indice </t>
  </si>
  <si>
    <t>Sito</t>
  </si>
  <si>
    <t xml:space="preserve"> Estensione della sorgente nella direzione principale del vento
vento 
 Profondità del top della sorgente nell’orizzonte profondo rispetto al p.c 
Spessore della sorgente nell’orizzonte profondo insaturo 
</t>
  </si>
  <si>
    <t xml:space="preserve"> Estensione della sorgente nella direzione principale del vento
 Profondità del top della sorgente nell’orizzonte profondo insaturo rispetto al p.c 
Spessore della sorgente nell’orizzonte profondo insaturo 
Profondità del top della sorgente nell’orizzonte profondo saturo rispetto al p.c 
Spessore della sorgente nell’orizzonte profondo saturo </t>
  </si>
  <si>
    <r>
      <rPr>
        <b/>
        <sz val="11"/>
        <color theme="1"/>
        <rFont val="Calibri"/>
        <family val="2"/>
        <scheme val="minor"/>
      </rPr>
      <t xml:space="preserve"> Estensione</t>
    </r>
    <r>
      <rPr>
        <sz val="11"/>
        <color theme="1"/>
        <rFont val="Calibri"/>
        <family val="2"/>
        <scheme val="minor"/>
      </rPr>
      <t xml:space="preserve"> della sorgente nella direzione principale del vento
 </t>
    </r>
    <r>
      <rPr>
        <b/>
        <sz val="11"/>
        <color theme="1"/>
        <rFont val="Calibri"/>
        <family val="2"/>
        <scheme val="minor"/>
      </rPr>
      <t>Profondità</t>
    </r>
    <r>
      <rPr>
        <sz val="11"/>
        <color theme="1"/>
        <rFont val="Calibri"/>
        <family val="2"/>
        <scheme val="minor"/>
      </rPr>
      <t xml:space="preserve"> del top della sorgente nell’orizzonte profondo insaturo rispetto al p.c 
</t>
    </r>
    <r>
      <rPr>
        <b/>
        <sz val="11"/>
        <color theme="1"/>
        <rFont val="Calibri"/>
        <family val="2"/>
        <scheme val="minor"/>
      </rPr>
      <t>Spessore</t>
    </r>
    <r>
      <rPr>
        <sz val="11"/>
        <color theme="1"/>
        <rFont val="Calibri"/>
        <family val="2"/>
        <scheme val="minor"/>
      </rPr>
      <t xml:space="preserve"> della sorgente nell’orizzonte profondo insaturo 
</t>
    </r>
    <r>
      <rPr>
        <b/>
        <sz val="11"/>
        <color theme="1"/>
        <rFont val="Calibri"/>
        <family val="2"/>
        <scheme val="minor"/>
      </rPr>
      <t>Profondità</t>
    </r>
    <r>
      <rPr>
        <sz val="11"/>
        <color theme="1"/>
        <rFont val="Calibri"/>
        <family val="2"/>
        <scheme val="minor"/>
      </rPr>
      <t xml:space="preserve"> del top della sorgente nell’orizzonte profondo saturo rispetto al p.c 
</t>
    </r>
    <r>
      <rPr>
        <b/>
        <sz val="11"/>
        <color theme="1"/>
        <rFont val="Calibri"/>
        <family val="2"/>
        <scheme val="minor"/>
      </rPr>
      <t xml:space="preserve">Spessore </t>
    </r>
    <r>
      <rPr>
        <sz val="11"/>
        <color theme="1"/>
        <rFont val="Calibri"/>
        <family val="2"/>
        <scheme val="minor"/>
      </rPr>
      <t xml:space="preserve">della sorgente nell’orizzonte profondo saturo </t>
    </r>
  </si>
  <si>
    <t xml:space="preserve"> Estensione della sorgente nella direzione principale del vento
Profondità del top della sorgente nell’orizzonte profondo saturo rispetto al p.c 
Spessore della sorgente nell’orizzonte profondo saturo 
</t>
  </si>
  <si>
    <t xml:space="preserve">Estensione della sorgente nella direzione principale del vento
Profondità del top della sorgente nell’orizzonte profondo saturo rispetto al p.c 
Spessore della sorgente nell’orizzonte profondo saturo </t>
  </si>
  <si>
    <t>Recettori</t>
  </si>
  <si>
    <t>Parametri sito-specifici</t>
  </si>
  <si>
    <t>Tessitura terreno insaturo ; 
pH insaturo ;
Densità
Foc terreno insaturo</t>
  </si>
  <si>
    <t>Tessitura terreno saturo 
pH saturo ;
Foc terreno saturo
Soggiacenza della falda 
Densità
Conducibilità idraulica del terreno saturo
Spessore acquifero
Gradiente idraulico
Contenuto volumetrico di acqua
Contenuto volumetrico di aria</t>
  </si>
  <si>
    <t>Tessitura terreno insaturo 
pH insaturo 
Densità
Foc terreno insaturo</t>
  </si>
  <si>
    <t>26/31</t>
  </si>
  <si>
    <r>
      <t xml:space="preserve">L'autorità competente richiede AdR </t>
    </r>
    <r>
      <rPr>
        <b/>
        <u/>
        <sz val="11"/>
        <color theme="1"/>
        <rFont val="Calibri"/>
        <family val="2"/>
        <scheme val="minor"/>
      </rPr>
      <t>esclusivamente diretta e nello scenario post-intervento</t>
    </r>
    <r>
      <rPr>
        <sz val="11"/>
        <color theme="1"/>
        <rFont val="Calibri"/>
        <family val="2"/>
        <scheme val="minor"/>
      </rPr>
      <t xml:space="preserve"> attendendo (R,HI,CDI). La metodica adottata per la valutazione del rischio sanitario è la Risk Based Corrective Action (RBCA), definita
dall’American Society for Testing and Materials (ASTM), considerando, in particolare,</t>
    </r>
    <r>
      <rPr>
        <b/>
        <sz val="11"/>
        <color theme="1"/>
        <rFont val="Calibri"/>
        <family val="2"/>
        <scheme val="minor"/>
      </rPr>
      <t xml:space="preserve"> un’analisi di secondo livello</t>
    </r>
    <r>
      <rPr>
        <sz val="11"/>
        <color theme="1"/>
        <rFont val="Calibri"/>
        <family val="2"/>
        <scheme val="minor"/>
      </rPr>
      <t>,
eseguita adottando valori sito-specifici e, qualora non disponibili, valori conservativi indicati nella bibliografia
scientifica nazionale ed internazionale, scelti secondo il criterio di un ragionevole margine cautelativo (reasonable
worst case). è stata trascurata la concentrazione di saturazione e viene adottato un ricettore ricreativo adulto e bambino</t>
    </r>
  </si>
  <si>
    <t>Bw= 15
AT=70 y
ED=6
EF= 30-90-180 d/y
RICETTORE RICREATIVO</t>
  </si>
  <si>
    <t>Bw= 70
AT=70 y
ED=24
EF= 30-90-180 d/y
RICETTORE RICREATIVO</t>
  </si>
  <si>
    <t>Bw= 15 kg
AT=70 y
ED=6
EF= 30-90-180 d/y
RECETTORE RICREATIVO</t>
  </si>
  <si>
    <t>Bw= 70 kg
AT=70 y
ED=24
EF= 30-90-180 d/y
RECETTORE RICREATIVO</t>
  </si>
  <si>
    <t xml:space="preserve">REcettore </t>
  </si>
  <si>
    <t>Diretti</t>
  </si>
  <si>
    <t>Stime e rilievi</t>
  </si>
  <si>
    <t>1.13E-09</t>
  </si>
  <si>
    <t>1.30E-03</t>
  </si>
  <si>
    <t>3.39E-09</t>
  </si>
  <si>
    <t>3.91E-03</t>
  </si>
  <si>
    <t>6.78E-09</t>
  </si>
  <si>
    <t>7.84E-03</t>
  </si>
  <si>
    <t>32/38</t>
  </si>
  <si>
    <t>28/32</t>
  </si>
  <si>
    <t>Anno</t>
  </si>
  <si>
    <t>2021-2023</t>
  </si>
  <si>
    <t>Crs [mg/kg]</t>
  </si>
  <si>
    <t xml:space="preserve"> Estensione della sorgente nella direzione principale del vento
vento 
 Profondità del top della sorgente nell’orizzonte profondo rispetto al p.c 
Spessore della sorgente nell’orizzonte profondo insaturo </t>
  </si>
  <si>
    <t>2+1</t>
  </si>
  <si>
    <t>0+1</t>
  </si>
  <si>
    <t>Materiali da riporto</t>
  </si>
  <si>
    <t>2017-2018</t>
  </si>
  <si>
    <t>29/32</t>
  </si>
  <si>
    <t>22/23</t>
  </si>
  <si>
    <t>Acque di falda</t>
  </si>
  <si>
    <t xml:space="preserve"> 
Estensione della sorgente nella direzione principale del vento
Soggiacenza della falda 
</t>
  </si>
  <si>
    <t>2019-2024</t>
  </si>
  <si>
    <t>2+0</t>
  </si>
  <si>
    <t>Metodo</t>
  </si>
  <si>
    <t xml:space="preserve">Scenario </t>
  </si>
  <si>
    <t>NO( Default manuale ISPRA)</t>
  </si>
  <si>
    <t>Anno indagini</t>
  </si>
  <si>
    <t>MISTI</t>
  </si>
  <si>
    <t>Misurati</t>
  </si>
  <si>
    <t>2017-2024</t>
  </si>
  <si>
    <t xml:space="preserve">  Estensione della sorgente nella direzione principale del vento
vento 
 Profondità del top della sorgente nell’orizzonte profondo rispetto al p.c 
Spessore della sorgente nell’orizzonte profondo insaturo </t>
  </si>
  <si>
    <t>Sedimenti sottocolmata</t>
  </si>
  <si>
    <t>Hotspot idrocarburi pesanti</t>
  </si>
  <si>
    <t>Nessun rischio</t>
  </si>
  <si>
    <t>16/19</t>
  </si>
  <si>
    <t>19/19</t>
  </si>
  <si>
    <t>37/45</t>
  </si>
  <si>
    <t>Identificazione delle cause di rischio</t>
  </si>
  <si>
    <t>Sommario sintetico quantitativo</t>
  </si>
  <si>
    <t>Superficiale</t>
  </si>
  <si>
    <t>Profonda</t>
  </si>
  <si>
    <t xml:space="preserve">1.  Inalazione vapori outdoor (solo per C volatili)  
2.  Lisciviazione e trasporto dei contaminanti verso il mare </t>
  </si>
  <si>
    <t>1. Carbonio Oganico 
2. Speciazione MADEP degli idrocarburi                   
3. Granulometria                    
4. Coefficiente di ripartizione solido-liquido (Kd)                                
5. Conducibilità idraulica (K)</t>
  </si>
  <si>
    <t>Parametri chimico-fisici e tossicologici</t>
  </si>
  <si>
    <t xml:space="preserve">Volatilità 
Peso Molecolare
Solubilità 
Costante di Henry 
Koc 
Kd 
Coeff. Diff. Aria
Coeff. Diff. Acqua 
SF Ing.
IUR
RfD Ing.
RfC
ABS </t>
  </si>
  <si>
    <t>Puntuali</t>
  </si>
  <si>
    <t>Proponente AdR</t>
  </si>
  <si>
    <t>Software</t>
  </si>
  <si>
    <t>Documenti ed elaborati disponibili</t>
  </si>
  <si>
    <t>Formato</t>
  </si>
  <si>
    <t>Data</t>
  </si>
  <si>
    <t>Sub-aree</t>
  </si>
  <si>
    <t xml:space="preserve">Arenile Sud </t>
  </si>
  <si>
    <t>Sezione amministrativa</t>
  </si>
  <si>
    <t>Denominazione sito</t>
  </si>
  <si>
    <t>Tipologie di attività</t>
  </si>
  <si>
    <t>Sezione identificativa sito</t>
  </si>
  <si>
    <t>Ex eternit</t>
  </si>
  <si>
    <t>Ex Ilva - Ex Italsider</t>
  </si>
  <si>
    <t>Fondazione IDIS - Città della Scienza</t>
  </si>
  <si>
    <t>Basi 15 Srl</t>
  </si>
  <si>
    <t xml:space="preserve">Fondali </t>
  </si>
  <si>
    <t>Cavone degli Sbirri - ex discarica ItalSider</t>
  </si>
  <si>
    <t xml:space="preserve">Stato procedurale </t>
  </si>
  <si>
    <t>Bonifica con Misure di Messa in Sicurezza eseguita (Bonifica parziale eseguita nel 2009) – Piano di caratterizzazione complementare eseguito</t>
  </si>
  <si>
    <t>Analisi di Rischio Approvata e Progetto Definitivo di Bonifica Falda in Corso</t>
  </si>
  <si>
    <t>Progetto Definitivo di Bonifica in Corso</t>
  </si>
  <si>
    <t>Bonifica Falda in corso / Progetto Definitivo di Bonifica lotto 1 Fondiarie Approvato / Progetto Definitivo di Bonifica lotto 3 (Parco dello Sport) Approvato / Progetto Definitivo di Bonifica lotto 2 presentato</t>
  </si>
  <si>
    <t>Progetto Preliminare di Bonifica Approvato/Piano di Caratterizzazione Integrativo Eseguito</t>
  </si>
  <si>
    <t>Progetto Preliminare di Rimozione Approvato/Piano di Caratterizzazione integrativa Eseguito, Piano di caratterizzazione di dettaglio eseguito</t>
  </si>
  <si>
    <t>Risk-Net 3.1.1</t>
  </si>
  <si>
    <t>Caratteristiche sito</t>
  </si>
  <si>
    <t xml:space="preserve">Evento inquinante </t>
  </si>
  <si>
    <t>Uso effettivo del suolo</t>
  </si>
  <si>
    <t>Potenziale recupero del sito</t>
  </si>
  <si>
    <t>Altre matrici</t>
  </si>
  <si>
    <t>Caratteristiche della potenziale contaminazione</t>
  </si>
  <si>
    <t>2025 - Post intervento</t>
  </si>
  <si>
    <t>Superficie potenzialmente interessata dalla contaminazione [ha]</t>
  </si>
  <si>
    <t>Attività produttive dismesse e interdetto alla fruibilità</t>
  </si>
  <si>
    <t>Gestione ambientale impopria dei processi soggiacenti alle attività esercitate
Scarsa consapevolezza del potenziale di danno 
Eventi accidentali</t>
  </si>
  <si>
    <t>v</t>
  </si>
  <si>
    <t>Non presente</t>
  </si>
  <si>
    <t>Colture aricole permanenti (vigneti e ulivi)</t>
  </si>
  <si>
    <t>Abbandono di rifiuti in cava (Discarica ex Italsider)</t>
  </si>
  <si>
    <t>Progetto di rigenerazione non previsto</t>
  </si>
  <si>
    <t xml:space="preserve">ambiente s.p.A. (società di consulenza) per INVITALIA </t>
  </si>
  <si>
    <t>Relazione generale</t>
  </si>
  <si>
    <t>pdf</t>
  </si>
  <si>
    <t>Tavole con superamento CSC per contaminante</t>
  </si>
  <si>
    <t>No allegati</t>
  </si>
  <si>
    <t>Documento</t>
  </si>
  <si>
    <t>Caratteristiche di Esposizione</t>
  </si>
  <si>
    <t>Superficie potenzialmente interessata dalla contaminazione</t>
  </si>
  <si>
    <t>Accessibilità del sito</t>
  </si>
  <si>
    <t>Lavoratore</t>
  </si>
  <si>
    <r>
      <t>circa 2 km</t>
    </r>
    <r>
      <rPr>
        <vertAlign val="superscript"/>
        <sz val="8"/>
        <color theme="1"/>
        <rFont val="Arial"/>
        <family val="2"/>
      </rPr>
      <t>2</t>
    </r>
  </si>
  <si>
    <t xml:space="preserve"> Contaminazione dovuta a decenni di attività siderurgica</t>
  </si>
  <si>
    <t>Zona residenziale</t>
  </si>
  <si>
    <t>Parco urbano con strutture turistiche ricreative</t>
  </si>
  <si>
    <t xml:space="preserve"> Estensione della sorgente nella direzione principale del vento.
- Suolo insaturo compreso tra il piano campagna (p.c.) e la profondità di un metro da p.c.</t>
  </si>
  <si>
    <t>Risk-Net 3.1.1. Pro</t>
  </si>
  <si>
    <t>Tipo di soggetto</t>
  </si>
  <si>
    <t>Caratteristiche geometriche</t>
  </si>
  <si>
    <r>
      <t>Rischi sanitari associati alle C</t>
    </r>
    <r>
      <rPr>
        <b/>
        <vertAlign val="subscript"/>
        <sz val="9"/>
        <color theme="1"/>
        <rFont val="Arial"/>
        <family val="2"/>
      </rPr>
      <t>RS</t>
    </r>
    <r>
      <rPr>
        <b/>
        <sz val="9"/>
        <color theme="1"/>
        <rFont val="Arial"/>
        <family val="2"/>
      </rPr>
      <t xml:space="preserve"> (valutazione in modalità diretta - outdoor on site)</t>
    </r>
  </si>
  <si>
    <r>
      <t>Rischi ambientali associati alle C</t>
    </r>
    <r>
      <rPr>
        <b/>
        <vertAlign val="subscript"/>
        <sz val="9"/>
        <color theme="1"/>
        <rFont val="Arial"/>
        <family val="2"/>
      </rPr>
      <t>RS</t>
    </r>
    <r>
      <rPr>
        <b/>
        <sz val="9"/>
        <color theme="1"/>
        <rFont val="Arial"/>
        <family val="2"/>
      </rPr>
      <t xml:space="preserve"> (valutazione in modalità diretta)</t>
    </r>
  </si>
  <si>
    <t>Golder Associates S.r.l.</t>
  </si>
  <si>
    <t xml:space="preserve">Risk-Net 3.1.1   
Rome Plus versione 1.1 </t>
  </si>
  <si>
    <t>AdR diretta (R,HI,Rfd) e inversa</t>
  </si>
  <si>
    <t xml:space="preserve">Relazione generale </t>
  </si>
  <si>
    <t>Area per lo più inattiva</t>
  </si>
  <si>
    <t>Presente sul Sito  un servizio di guardiania e vigilanza con turni di 8 ore, in corrispondenza
del varco di ingresso di Via Coroglio 71 e con permanenza degli operatori nel solo piazzale di Via Coroglio, che
risulta completamente pavimentato, senza accedere alle aree interne dello stabilimento</t>
  </si>
  <si>
    <t>Parco Urbano/Verde di Quartiere (definito nello stralcio urbanistico del PRARU del SIN)</t>
  </si>
  <si>
    <t>Attività di produzione del cemento</t>
  </si>
  <si>
    <t>Area ex stabilimento Cementir Italia S.p.A. di proprietà Basi 15 S.r.l.</t>
  </si>
  <si>
    <t>Suolo superficiale - zona insatura</t>
  </si>
  <si>
    <t>Suolo profondo - zona insatura</t>
  </si>
  <si>
    <t>Falda - zona satura</t>
  </si>
  <si>
    <t>Selenio</t>
  </si>
  <si>
    <t>Antimonio</t>
  </si>
  <si>
    <t>Nitriti</t>
  </si>
  <si>
    <t>Tricloroetilene</t>
  </si>
  <si>
    <t>Esaclorobutadiene</t>
  </si>
  <si>
    <t>Alluminio</t>
  </si>
  <si>
    <t>Fluoruri</t>
  </si>
  <si>
    <r>
      <t>72.503 m</t>
    </r>
    <r>
      <rPr>
        <vertAlign val="superscript"/>
        <sz val="9"/>
        <color theme="1"/>
        <rFont val="Arial"/>
        <family val="2"/>
      </rPr>
      <t>2</t>
    </r>
  </si>
  <si>
    <t>Risk-net versione 3.1.1 Pro (“Risk-net”); 
Rome Plus versione 1.1 (“Rome Plus”).</t>
  </si>
  <si>
    <t>2021-2021</t>
  </si>
  <si>
    <t>Sorgenti uniche e
spazialmente continue, arealmente estese sull’intero Sito. È stato applicato il metodo dei poligoni di Thiessen a seguito dell'analisi del vicinato</t>
  </si>
  <si>
    <t>è stata definita una  sorgente unica estesa all’intera area del Sito comprensiva
di tutti gli inquinanti riscontrati in concentrazioni superiori ai rispettivi limiti di riferimento normativo</t>
  </si>
  <si>
    <t>Area agricola con colture permanenti interessata dal potenziale sospetto di smaltimento rifiuti ex ItalsSider</t>
  </si>
  <si>
    <t>Privato</t>
  </si>
  <si>
    <t>Piano di caratterizzazione - Dott.ssa Aurora  Brancia</t>
  </si>
  <si>
    <t>Relazioni ARPAC- ISPRA CdS</t>
  </si>
  <si>
    <t>Impianti siderurgici e industriali, attività produttive e industriali dismesse, discariche e siti di abbandono di rifiuti, depositi e distributori di carburanti, aree residenziali, sociali e agricole dismesse dal 1993</t>
  </si>
  <si>
    <t>Pubblico demanio</t>
  </si>
  <si>
    <t>Arcadis SPA per Invitalia</t>
  </si>
  <si>
    <t>Pdf</t>
  </si>
  <si>
    <t xml:space="preserve">AdR </t>
  </si>
  <si>
    <t>Pdf + Alleagati</t>
  </si>
  <si>
    <t>Destinazione polifunzionale a scopo ricreativo con attrezzature sportive ed aree verdi</t>
  </si>
  <si>
    <t>Identificazione cause di rischio</t>
  </si>
  <si>
    <t>Uso pertinenziale alla balneazione</t>
  </si>
  <si>
    <t>Gestione ambientale impopria dei processi soggiacenti alle attività 
Scarsa consapevolezza del potenziale di danno per collocazione temporale di esercizio
Eventi accidentali</t>
  </si>
  <si>
    <t>Caratteristiche contaminazione</t>
  </si>
  <si>
    <t>Suolo e sottosuolo</t>
  </si>
  <si>
    <t>Napoli Bagnoli - Coroglio 
(ultima perimetrazione D.M 08/08/2014)</t>
  </si>
  <si>
    <t>Non disponibili</t>
  </si>
  <si>
    <t>AdR non elaborata</t>
  </si>
  <si>
    <t xml:space="preserve">Escluse per la presenza di un pozzo artesiano nell'immediata prossimità laterale in condizioni isopiezometriche e ad una profondità di 90 metri </t>
  </si>
  <si>
    <t>Crs [mg/kg] /[μg/l]</t>
  </si>
  <si>
    <t>Valore limite (CSC) o soglia (ISS-INAIL) [mg/kg] / [μg/l]</t>
  </si>
  <si>
    <t>Scenario ricreativo futuro del sito</t>
  </si>
  <si>
    <t>Scenario lavorativo esterno al sito</t>
  </si>
  <si>
    <t>Scenario residenziale esterno al sito</t>
  </si>
  <si>
    <t xml:space="preserve">RGW </t>
  </si>
  <si>
    <t>Scenario espositivo futuro del sito</t>
  </si>
  <si>
    <t xml:space="preserve">Scenario espositivo attuale esterno al sito </t>
  </si>
  <si>
    <t>Parametro</t>
  </si>
  <si>
    <t>Frazione di carbonio organico
pH
Coefficiente di ripartizione solido/liquido
Densità del suolo
Porosità efficace 
Contenuto volumetrico di acqua e di aria
Infiltrazione efficace
Piovosità</t>
  </si>
  <si>
    <t xml:space="preserve">Profondità del top della sorgente rispetto al p.c.
Spessore della sorgente
Profondità del piano di falda
 </t>
  </si>
  <si>
    <t xml:space="preserve">Ingestione e contatto dermico con il suolo superficiale </t>
  </si>
  <si>
    <t>On site</t>
  </si>
  <si>
    <t>Peso corporeo (BW)</t>
  </si>
  <si>
    <t>Tempo di mediazione cancerogeni (AT)</t>
  </si>
  <si>
    <t>Erosione a opera del vento e dispersione in atmosfera delle polveri (outdoor)</t>
  </si>
  <si>
    <t>Durata di esposizione (ED)</t>
  </si>
  <si>
    <t>Frequenza di esposizione (EF)</t>
  </si>
  <si>
    <t>Volatilizzazione di vapori organici e loro dispersione in atmosfera (outdoor)</t>
  </si>
  <si>
    <t>Rilascio della frazione idrosolubile mediante lisciviazione nelle acque sotterranee</t>
  </si>
  <si>
    <t>Cumulato Outdoor</t>
  </si>
  <si>
    <t>Metilmercurio</t>
  </si>
  <si>
    <t>Volatilizzazione di vapori organici e accumulo in spazi chiusi (indoor)</t>
  </si>
  <si>
    <t>ID</t>
  </si>
  <si>
    <t>BA_01</t>
  </si>
  <si>
    <t>BA_02</t>
  </si>
  <si>
    <t>BA_03</t>
  </si>
  <si>
    <t>BA_04</t>
  </si>
  <si>
    <r>
      <t xml:space="preserve">Piano di caratterizzazione approvato 2022 - </t>
    </r>
    <r>
      <rPr>
        <u/>
        <sz val="12"/>
        <color theme="1"/>
        <rFont val="Arial"/>
        <family val="2"/>
      </rPr>
      <t>Committente: Tenuta Monte Sant'Angelo in Liquidazione</t>
    </r>
  </si>
  <si>
    <r>
      <t xml:space="preserve">Relazione conclusiva sulle attività svolte - </t>
    </r>
    <r>
      <rPr>
        <u/>
        <sz val="12"/>
        <color theme="1"/>
        <rFont val="Arial"/>
        <family val="2"/>
      </rPr>
      <t>Commissario straordinario per le bonifiche</t>
    </r>
  </si>
  <si>
    <r>
      <t xml:space="preserve">Studio di impatto ambientale - </t>
    </r>
    <r>
      <rPr>
        <u/>
        <sz val="12"/>
        <color theme="1"/>
        <rFont val="Arial"/>
        <family val="2"/>
      </rPr>
      <t>Arcadis</t>
    </r>
  </si>
  <si>
    <r>
      <t>Relazione tecnica degli inteventi di messa in sicurezza e risanamento della colmata -</t>
    </r>
    <r>
      <rPr>
        <u/>
        <sz val="12"/>
        <color theme="1"/>
        <rFont val="Arial"/>
        <family val="2"/>
      </rPr>
      <t xml:space="preserve"> Arcadis</t>
    </r>
  </si>
  <si>
    <r>
      <t xml:space="preserve">Progetto definitivo di appalto integrato - </t>
    </r>
    <r>
      <rPr>
        <u/>
        <sz val="12"/>
        <color theme="1"/>
        <rFont val="Arial"/>
        <family val="2"/>
      </rPr>
      <t>Invitalia</t>
    </r>
  </si>
  <si>
    <t>NO Documentazione soggiacente al nuovo scenario di intervento in corso (Greenthesis)</t>
  </si>
  <si>
    <t xml:space="preserve">Sintesi a punteggio </t>
  </si>
  <si>
    <t>Off-site</t>
  </si>
  <si>
    <t>1.91E-01</t>
  </si>
  <si>
    <t>Zona residenziale
( Ex area industriale)</t>
  </si>
  <si>
    <t>Zona residenziale
( Parco dello sport)</t>
  </si>
  <si>
    <t>TR</t>
  </si>
  <si>
    <t>4.59E-02</t>
  </si>
  <si>
    <r>
      <t>Crs [mg/kg] o [</t>
    </r>
    <r>
      <rPr>
        <b/>
        <sz val="8"/>
        <color theme="1"/>
        <rFont val="Aptos Narrow"/>
        <family val="2"/>
      </rPr>
      <t>μ</t>
    </r>
    <r>
      <rPr>
        <b/>
        <sz val="8"/>
        <color theme="1"/>
        <rFont val="Arial"/>
        <family val="2"/>
      </rPr>
      <t>g/L]</t>
    </r>
  </si>
  <si>
    <t>Ricreativo adulto e bambino</t>
  </si>
  <si>
    <t>Residenziale adulto e bambino</t>
  </si>
  <si>
    <t>Lavoratore adulto</t>
  </si>
  <si>
    <t>Idrocarburi alifatici C9-C12</t>
  </si>
  <si>
    <t>Indeno(1,2,3-cd)pirene</t>
  </si>
  <si>
    <t>Cloruro di mercurio</t>
  </si>
  <si>
    <t>1,1-dicloroetilene</t>
  </si>
  <si>
    <t>PCB dioxin-like</t>
  </si>
  <si>
    <t>PCB Dioxin-like</t>
  </si>
  <si>
    <t>MAX R,HI</t>
  </si>
  <si>
    <t>N. sup R,HI</t>
  </si>
  <si>
    <t>SANITARIO</t>
  </si>
  <si>
    <t xml:space="preserve">1,18E-04
</t>
  </si>
  <si>
    <t>Bonifica Completata</t>
  </si>
  <si>
    <t xml:space="preserve">Progetto Definito di Bonifica in corso </t>
  </si>
  <si>
    <t>Progetto Definito di Bonifica presentato</t>
  </si>
  <si>
    <t xml:space="preserve">Progetto di Bonifica eseguito </t>
  </si>
  <si>
    <t>Progetto Definito di Bonifica approvato</t>
  </si>
  <si>
    <t>ALIFATICI C13-C18</t>
  </si>
  <si>
    <t>ALIFATICI C19-C36</t>
  </si>
  <si>
    <t>AROMATICI C13-C22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</si>
</sst>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x14ac:knownFonts="1">
    <font>
      <sz val="11"/>
      <color theme="1"/>
      <name val="Calibri"/>
      <family val="2"/>
      <scheme val="minor"/>
    </font>
    <font>
      <b/>
      <sz val="11"/>
      <color theme="1"/>
      <name val="Calibri"/>
      <family val="2"/>
      <scheme val="minor"/>
    </font>
    <font>
      <b/>
      <vertAlign val="subscript"/>
      <sz val="11"/>
      <color theme="1"/>
      <name val="Calibri"/>
      <family val="2"/>
      <scheme val="minor"/>
    </font>
    <font>
      <b/>
      <u/>
      <sz val="11"/>
      <color theme="1"/>
      <name val="Calibri"/>
      <family val="2"/>
      <scheme val="minor"/>
    </font>
    <font>
      <sz val="8"/>
      <name val="Calibri"/>
      <family val="2"/>
      <scheme val="minor"/>
    </font>
    <font>
      <sz val="12"/>
      <color theme="1"/>
      <name val="Calibri"/>
      <family val="2"/>
      <scheme val="minor"/>
    </font>
    <font>
      <b/>
      <sz val="8"/>
      <color theme="1"/>
      <name val="Arial"/>
      <family val="2"/>
    </font>
    <font>
      <sz val="8"/>
      <color theme="1"/>
      <name val="Arial"/>
      <family val="2"/>
    </font>
    <font>
      <vertAlign val="superscript"/>
      <sz val="8"/>
      <color theme="1"/>
      <name val="Arial"/>
      <family val="2"/>
    </font>
    <font>
      <b/>
      <u/>
      <sz val="9"/>
      <color theme="1"/>
      <name val="Arial"/>
      <family val="2"/>
    </font>
    <font>
      <b/>
      <sz val="9"/>
      <color theme="1"/>
      <name val="Arial"/>
      <family val="2"/>
    </font>
    <font>
      <b/>
      <vertAlign val="subscript"/>
      <sz val="9"/>
      <color theme="1"/>
      <name val="Arial"/>
      <family val="2"/>
    </font>
    <font>
      <sz val="9"/>
      <color theme="1"/>
      <name val="Arial"/>
      <family val="2"/>
    </font>
    <font>
      <vertAlign val="superscript"/>
      <sz val="9"/>
      <color theme="1"/>
      <name val="Arial"/>
      <family val="2"/>
    </font>
    <font>
      <sz val="16"/>
      <color theme="1"/>
      <name val="Calibri"/>
      <family val="2"/>
      <scheme val="minor"/>
    </font>
    <font>
      <b/>
      <sz val="9"/>
      <color theme="1"/>
      <name val="Aptos Narrow"/>
      <family val="2"/>
    </font>
    <font>
      <sz val="9"/>
      <color theme="1"/>
      <name val="Aptos Narrow"/>
      <family val="2"/>
    </font>
    <font>
      <sz val="12"/>
      <color theme="1"/>
      <name val="Arial"/>
      <family val="2"/>
    </font>
    <font>
      <b/>
      <sz val="12"/>
      <color theme="1"/>
      <name val="Arial"/>
      <family val="2"/>
    </font>
    <font>
      <u/>
      <sz val="12"/>
      <color theme="1"/>
      <name val="Arial"/>
      <family val="2"/>
    </font>
    <font>
      <b/>
      <sz val="14"/>
      <color theme="1"/>
      <name val="Arial"/>
      <family val="2"/>
    </font>
    <font>
      <b/>
      <sz val="18"/>
      <color theme="1"/>
      <name val="Arial"/>
      <family val="2"/>
    </font>
    <font>
      <sz val="11"/>
      <color rgb="FFFF0000"/>
      <name val="Calibri"/>
      <family val="2"/>
      <scheme val="minor"/>
    </font>
    <font>
      <b/>
      <sz val="8"/>
      <color theme="1"/>
      <name val="Aptos Narrow"/>
      <family val="2"/>
    </font>
  </fonts>
  <fills count="21">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2" tint="-0.249977111117893"/>
        <bgColor indexed="64"/>
      </patternFill>
    </fill>
    <fill>
      <patternFill patternType="solid">
        <fgColor theme="6"/>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s>
  <cellStyleXfs count="1">
    <xf numFmtId="0" fontId="0" fillId="0" borderId="0"/>
  </cellStyleXfs>
  <cellXfs count="66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1"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6" xfId="0" applyFill="1" applyBorder="1" applyAlignment="1">
      <alignment horizontal="center" vertical="center"/>
    </xf>
    <xf numFmtId="0" fontId="3" fillId="2" borderId="6" xfId="0" applyFont="1" applyFill="1" applyBorder="1" applyAlignment="1">
      <alignment horizontal="center" vertical="center"/>
    </xf>
    <xf numFmtId="0" fontId="0" fillId="4" borderId="1" xfId="0" applyFill="1" applyBorder="1" applyAlignment="1">
      <alignment horizontal="center" vertical="center"/>
    </xf>
    <xf numFmtId="0" fontId="1" fillId="4" borderId="1" xfId="0" applyFont="1" applyFill="1" applyBorder="1" applyAlignment="1">
      <alignment horizontal="center" vertical="center"/>
    </xf>
    <xf numFmtId="3" fontId="0" fillId="4" borderId="1" xfId="0" applyNumberFormat="1" applyFill="1" applyBorder="1" applyAlignment="1">
      <alignment horizontal="center" vertical="center"/>
    </xf>
    <xf numFmtId="0" fontId="0" fillId="0" borderId="0" xfId="0" applyAlignment="1">
      <alignment horizontal="center" vertical="center" wrapText="1"/>
    </xf>
    <xf numFmtId="0" fontId="0" fillId="5" borderId="1" xfId="0" applyFill="1" applyBorder="1" applyAlignment="1">
      <alignment horizontal="center" vertical="center"/>
    </xf>
    <xf numFmtId="0" fontId="0" fillId="2" borderId="17" xfId="0" applyFill="1" applyBorder="1" applyAlignment="1">
      <alignment horizontal="center" vertical="center"/>
    </xf>
    <xf numFmtId="0" fontId="0" fillId="2" borderId="17" xfId="0" applyFill="1" applyBorder="1" applyAlignment="1">
      <alignment horizontal="center" vertical="center" wrapText="1"/>
    </xf>
    <xf numFmtId="0" fontId="0" fillId="2" borderId="20" xfId="0" applyFill="1" applyBorder="1" applyAlignment="1">
      <alignment horizontal="center" vertical="center"/>
    </xf>
    <xf numFmtId="0" fontId="0" fillId="2" borderId="22" xfId="0" applyFill="1" applyBorder="1" applyAlignment="1">
      <alignment horizontal="center" vertical="center"/>
    </xf>
    <xf numFmtId="0" fontId="0" fillId="3" borderId="22" xfId="0" applyFill="1" applyBorder="1" applyAlignment="1">
      <alignment horizontal="center" vertical="center"/>
    </xf>
    <xf numFmtId="0" fontId="0" fillId="3" borderId="24" xfId="0" applyFill="1" applyBorder="1" applyAlignment="1">
      <alignment horizontal="center" vertical="center"/>
    </xf>
    <xf numFmtId="0" fontId="3" fillId="3" borderId="24"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31" xfId="0" applyFont="1" applyFill="1" applyBorder="1" applyAlignment="1">
      <alignment horizontal="center" vertical="center"/>
    </xf>
    <xf numFmtId="0" fontId="0" fillId="5" borderId="22" xfId="0" applyFill="1" applyBorder="1" applyAlignment="1">
      <alignment horizontal="center" vertical="center"/>
    </xf>
    <xf numFmtId="0" fontId="0" fillId="3" borderId="6" xfId="0" applyFill="1" applyBorder="1" applyAlignment="1">
      <alignment horizontal="center" vertical="center"/>
    </xf>
    <xf numFmtId="0" fontId="3" fillId="3" borderId="6" xfId="0" applyFont="1" applyFill="1" applyBorder="1" applyAlignment="1">
      <alignment horizontal="center" vertical="center"/>
    </xf>
    <xf numFmtId="0" fontId="3" fillId="3" borderId="31" xfId="0" applyFont="1" applyFill="1" applyBorder="1" applyAlignment="1">
      <alignment horizontal="center" vertical="center"/>
    </xf>
    <xf numFmtId="0" fontId="3" fillId="4" borderId="1" xfId="0" applyFont="1" applyFill="1" applyBorder="1" applyAlignment="1">
      <alignment horizontal="center" vertical="center"/>
    </xf>
    <xf numFmtId="0" fontId="0" fillId="5" borderId="6" xfId="0" applyFill="1" applyBorder="1" applyAlignment="1">
      <alignment horizontal="center" vertical="center"/>
    </xf>
    <xf numFmtId="0" fontId="3" fillId="5" borderId="6" xfId="0" applyFont="1" applyFill="1" applyBorder="1" applyAlignment="1">
      <alignment horizontal="center" vertical="center"/>
    </xf>
    <xf numFmtId="0" fontId="3" fillId="5" borderId="31" xfId="0" applyFont="1" applyFill="1" applyBorder="1" applyAlignment="1">
      <alignment horizontal="center" vertical="center"/>
    </xf>
    <xf numFmtId="0" fontId="0" fillId="10" borderId="1" xfId="0" applyFill="1" applyBorder="1" applyAlignment="1">
      <alignment horizontal="center" vertical="center"/>
    </xf>
    <xf numFmtId="0" fontId="1"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11" borderId="1" xfId="0" applyFont="1" applyFill="1" applyBorder="1" applyAlignment="1">
      <alignment horizontal="center" vertical="center"/>
    </xf>
    <xf numFmtId="0" fontId="0" fillId="12" borderId="1" xfId="0" applyFill="1" applyBorder="1" applyAlignment="1">
      <alignment horizontal="center" vertical="center"/>
    </xf>
    <xf numFmtId="0" fontId="3" fillId="12" borderId="1" xfId="0" applyFont="1" applyFill="1" applyBorder="1" applyAlignment="1">
      <alignment horizontal="center" vertical="center"/>
    </xf>
    <xf numFmtId="0" fontId="0" fillId="12" borderId="1" xfId="0" applyFill="1" applyBorder="1" applyAlignment="1">
      <alignment horizontal="center" vertical="center" wrapText="1"/>
    </xf>
    <xf numFmtId="0" fontId="3"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4" borderId="17" xfId="0" applyFill="1" applyBorder="1" applyAlignment="1">
      <alignment horizontal="center" vertical="center"/>
    </xf>
    <xf numFmtId="0" fontId="0" fillId="4" borderId="20" xfId="0" applyFill="1" applyBorder="1" applyAlignment="1">
      <alignment horizontal="center" vertical="center"/>
    </xf>
    <xf numFmtId="0" fontId="0" fillId="4" borderId="22" xfId="0" applyFill="1" applyBorder="1" applyAlignment="1">
      <alignment horizontal="center" vertical="center"/>
    </xf>
    <xf numFmtId="0" fontId="3" fillId="4" borderId="22" xfId="0" applyFont="1" applyFill="1" applyBorder="1" applyAlignment="1">
      <alignment horizontal="center" vertical="center"/>
    </xf>
    <xf numFmtId="0" fontId="0" fillId="11" borderId="22" xfId="0" applyFill="1" applyBorder="1" applyAlignment="1">
      <alignment horizontal="center" vertical="center"/>
    </xf>
    <xf numFmtId="0" fontId="3" fillId="11" borderId="22" xfId="0" applyFont="1" applyFill="1" applyBorder="1" applyAlignment="1">
      <alignment horizontal="center" vertical="center"/>
    </xf>
    <xf numFmtId="0" fontId="0" fillId="13" borderId="1" xfId="0" applyFill="1" applyBorder="1" applyAlignment="1">
      <alignment horizontal="center" vertical="center"/>
    </xf>
    <xf numFmtId="0" fontId="0" fillId="13" borderId="22" xfId="0" applyFill="1" applyBorder="1" applyAlignment="1">
      <alignment horizontal="center" vertical="center"/>
    </xf>
    <xf numFmtId="0" fontId="0" fillId="13" borderId="24" xfId="0" applyFill="1" applyBorder="1" applyAlignment="1">
      <alignment horizontal="center" vertical="center"/>
    </xf>
    <xf numFmtId="0" fontId="3" fillId="13" borderId="24" xfId="0" applyFont="1" applyFill="1" applyBorder="1" applyAlignment="1">
      <alignment horizontal="center" vertical="center"/>
    </xf>
    <xf numFmtId="0" fontId="3" fillId="13" borderId="28" xfId="0" applyFont="1" applyFill="1" applyBorder="1" applyAlignment="1">
      <alignment horizontal="center" vertical="center"/>
    </xf>
    <xf numFmtId="0" fontId="0" fillId="2" borderId="15" xfId="0" applyFill="1" applyBorder="1" applyAlignment="1">
      <alignment horizontal="center" vertical="center" wrapText="1"/>
    </xf>
    <xf numFmtId="0" fontId="0" fillId="3" borderId="15" xfId="0" applyFill="1" applyBorder="1" applyAlignment="1">
      <alignment horizontal="center" vertical="center"/>
    </xf>
    <xf numFmtId="0" fontId="0" fillId="3" borderId="15" xfId="0" applyFill="1" applyBorder="1" applyAlignment="1">
      <alignment horizontal="center" vertical="center" wrapText="1"/>
    </xf>
    <xf numFmtId="0" fontId="0" fillId="3" borderId="34" xfId="0" applyFill="1" applyBorder="1" applyAlignment="1">
      <alignment horizontal="center" vertical="center"/>
    </xf>
    <xf numFmtId="0" fontId="3" fillId="2" borderId="22" xfId="0" applyFont="1" applyFill="1" applyBorder="1" applyAlignment="1">
      <alignment horizontal="center" vertical="center"/>
    </xf>
    <xf numFmtId="0" fontId="0" fillId="2" borderId="15" xfId="0" applyFill="1" applyBorder="1" applyAlignment="1">
      <alignment horizontal="center" vertical="center"/>
    </xf>
    <xf numFmtId="0" fontId="0" fillId="2" borderId="34" xfId="0" applyFill="1" applyBorder="1" applyAlignment="1">
      <alignment horizontal="center" vertical="center"/>
    </xf>
    <xf numFmtId="0" fontId="0" fillId="6" borderId="0" xfId="0" applyFill="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5" borderId="1" xfId="0" applyFont="1" applyFill="1" applyBorder="1" applyAlignment="1">
      <alignment horizontal="center" vertical="center" wrapText="1"/>
    </xf>
    <xf numFmtId="0" fontId="0" fillId="15" borderId="1" xfId="0" applyFill="1" applyBorder="1" applyAlignment="1">
      <alignment horizontal="center" vertical="center"/>
    </xf>
    <xf numFmtId="0" fontId="0" fillId="15" borderId="1" xfId="0" applyFill="1" applyBorder="1" applyAlignment="1">
      <alignment horizontal="center" vertical="center" wrapText="1"/>
    </xf>
    <xf numFmtId="16" fontId="0" fillId="15" borderId="1" xfId="0" applyNumberFormat="1" applyFill="1" applyBorder="1" applyAlignment="1">
      <alignment horizontal="center" vertical="center"/>
    </xf>
    <xf numFmtId="0" fontId="1" fillId="2" borderId="1" xfId="0" applyFont="1" applyFill="1" applyBorder="1" applyAlignment="1">
      <alignment horizontal="center" vertical="center" wrapText="1"/>
    </xf>
    <xf numFmtId="0" fontId="0" fillId="16" borderId="1" xfId="0" applyFill="1" applyBorder="1" applyAlignment="1">
      <alignment horizontal="center" vertical="center"/>
    </xf>
    <xf numFmtId="0" fontId="3" fillId="17" borderId="1" xfId="0" applyFont="1" applyFill="1" applyBorder="1" applyAlignment="1">
      <alignment horizontal="center" vertical="center"/>
    </xf>
    <xf numFmtId="0" fontId="1"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center" vertical="center" wrapText="1"/>
    </xf>
    <xf numFmtId="0" fontId="3" fillId="0" borderId="1" xfId="0" applyFont="1" applyBorder="1" applyAlignment="1">
      <alignment horizontal="center" vertical="center"/>
    </xf>
    <xf numFmtId="0" fontId="3" fillId="16" borderId="1" xfId="0" applyFont="1" applyFill="1" applyBorder="1" applyAlignment="1">
      <alignment horizontal="center" vertical="center"/>
    </xf>
    <xf numFmtId="0" fontId="1" fillId="16" borderId="1" xfId="0" applyFont="1" applyFill="1" applyBorder="1" applyAlignment="1">
      <alignment horizontal="center" vertical="center"/>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1" fillId="13" borderId="1" xfId="0" applyFont="1" applyFill="1" applyBorder="1" applyAlignment="1">
      <alignment horizontal="center" vertical="center" wrapText="1"/>
    </xf>
    <xf numFmtId="0" fontId="0" fillId="4" borderId="0" xfId="0" applyFill="1" applyAlignment="1">
      <alignment horizontal="center" vertical="center"/>
    </xf>
    <xf numFmtId="0" fontId="0" fillId="4" borderId="6" xfId="0" applyFill="1" applyBorder="1" applyAlignment="1">
      <alignment horizontal="center" vertical="center"/>
    </xf>
    <xf numFmtId="0" fontId="3" fillId="4" borderId="6" xfId="0" applyFont="1" applyFill="1" applyBorder="1" applyAlignment="1">
      <alignment horizontal="center" vertical="center"/>
    </xf>
    <xf numFmtId="0" fontId="3" fillId="4" borderId="31" xfId="0" applyFont="1" applyFill="1" applyBorder="1" applyAlignment="1">
      <alignment horizontal="center" vertical="center"/>
    </xf>
    <xf numFmtId="0" fontId="1" fillId="18" borderId="1" xfId="0" applyFont="1" applyFill="1" applyBorder="1" applyAlignment="1">
      <alignment horizontal="center" vertical="center"/>
    </xf>
    <xf numFmtId="0" fontId="3" fillId="0" borderId="0" xfId="0" applyFont="1" applyAlignment="1">
      <alignment horizontal="center" vertical="center"/>
    </xf>
    <xf numFmtId="0" fontId="3" fillId="13" borderId="1" xfId="0" applyFont="1" applyFill="1" applyBorder="1" applyAlignment="1">
      <alignment horizontal="center" vertical="center"/>
    </xf>
    <xf numFmtId="0" fontId="1" fillId="18"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center" vertical="center"/>
    </xf>
    <xf numFmtId="0" fontId="7" fillId="0" borderId="0" xfId="0" applyFont="1"/>
    <xf numFmtId="0" fontId="7" fillId="7" borderId="1" xfId="0" applyFont="1" applyFill="1" applyBorder="1" applyAlignment="1">
      <alignment horizontal="center" vertical="center"/>
    </xf>
    <xf numFmtId="0" fontId="7" fillId="7" borderId="1" xfId="0" applyFont="1" applyFill="1" applyBorder="1"/>
    <xf numFmtId="11" fontId="7" fillId="7" borderId="1" xfId="0" applyNumberFormat="1" applyFont="1" applyFill="1" applyBorder="1"/>
    <xf numFmtId="0" fontId="6" fillId="7" borderId="1" xfId="0" applyFont="1" applyFill="1" applyBorder="1" applyAlignment="1">
      <alignment horizontal="center" vertical="center" wrapText="1"/>
    </xf>
    <xf numFmtId="11" fontId="6" fillId="7" borderId="1" xfId="0" applyNumberFormat="1" applyFont="1" applyFill="1" applyBorder="1"/>
    <xf numFmtId="0" fontId="7" fillId="7" borderId="1" xfId="0" applyFont="1" applyFill="1" applyBorder="1" applyAlignment="1">
      <alignment horizontal="center"/>
    </xf>
    <xf numFmtId="0" fontId="7" fillId="7" borderId="1" xfId="0" applyFont="1" applyFill="1" applyBorder="1" applyAlignment="1">
      <alignment horizontal="left" vertical="center"/>
    </xf>
    <xf numFmtId="0" fontId="7" fillId="7" borderId="1" xfId="0" applyFont="1" applyFill="1" applyBorder="1" applyAlignment="1">
      <alignment horizontal="right" vertical="center"/>
    </xf>
    <xf numFmtId="11" fontId="7" fillId="7" borderId="1" xfId="0" applyNumberFormat="1" applyFont="1" applyFill="1" applyBorder="1" applyAlignment="1">
      <alignment horizontal="right" vertical="center"/>
    </xf>
    <xf numFmtId="0" fontId="7" fillId="8" borderId="1" xfId="0" applyFont="1" applyFill="1" applyBorder="1"/>
    <xf numFmtId="11" fontId="7" fillId="8" borderId="1" xfId="0" applyNumberFormat="1" applyFont="1" applyFill="1" applyBorder="1"/>
    <xf numFmtId="11" fontId="6" fillId="8" borderId="1" xfId="0" applyNumberFormat="1" applyFont="1" applyFill="1" applyBorder="1"/>
    <xf numFmtId="0" fontId="7" fillId="8" borderId="1" xfId="0" applyFont="1" applyFill="1" applyBorder="1" applyAlignment="1">
      <alignment horizontal="center"/>
    </xf>
    <xf numFmtId="0" fontId="7" fillId="8" borderId="1" xfId="0" applyFont="1" applyFill="1" applyBorder="1" applyAlignment="1">
      <alignment horizontal="left" vertical="center"/>
    </xf>
    <xf numFmtId="11" fontId="7" fillId="8" borderId="1" xfId="0" applyNumberFormat="1" applyFont="1" applyFill="1" applyBorder="1" applyAlignment="1">
      <alignment horizontal="right" vertical="center"/>
    </xf>
    <xf numFmtId="0" fontId="7" fillId="8" borderId="1" xfId="0" applyFont="1" applyFill="1" applyBorder="1" applyAlignment="1">
      <alignment horizontal="right" vertical="center"/>
    </xf>
    <xf numFmtId="0" fontId="7" fillId="9" borderId="1" xfId="0" applyFont="1" applyFill="1" applyBorder="1" applyAlignment="1">
      <alignment horizontal="left" vertical="center"/>
    </xf>
    <xf numFmtId="11" fontId="7" fillId="9" borderId="1" xfId="0" applyNumberFormat="1" applyFont="1" applyFill="1" applyBorder="1" applyAlignment="1">
      <alignment horizontal="right" vertical="center"/>
    </xf>
    <xf numFmtId="0" fontId="7" fillId="9" borderId="1" xfId="0" applyFont="1" applyFill="1" applyBorder="1"/>
    <xf numFmtId="0" fontId="7" fillId="9" borderId="1" xfId="0" applyFont="1" applyFill="1" applyBorder="1" applyAlignment="1">
      <alignment horizontal="right" vertical="center"/>
    </xf>
    <xf numFmtId="0" fontId="7" fillId="9" borderId="1" xfId="0" applyFont="1" applyFill="1" applyBorder="1" applyAlignment="1">
      <alignment horizontal="center" vertical="center" wrapText="1"/>
    </xf>
    <xf numFmtId="11" fontId="6" fillId="9" borderId="1" xfId="0" applyNumberFormat="1" applyFont="1" applyFill="1" applyBorder="1" applyAlignment="1">
      <alignment horizontal="right" vertical="center"/>
    </xf>
    <xf numFmtId="11" fontId="7" fillId="9" borderId="1" xfId="0" applyNumberFormat="1" applyFont="1" applyFill="1" applyBorder="1" applyAlignment="1">
      <alignment horizontal="center" vertical="center"/>
    </xf>
    <xf numFmtId="11" fontId="7" fillId="9" borderId="1" xfId="0" applyNumberFormat="1" applyFont="1" applyFill="1" applyBorder="1" applyAlignment="1">
      <alignment vertical="center"/>
    </xf>
    <xf numFmtId="0" fontId="7" fillId="9" borderId="1" xfId="0" applyFont="1" applyFill="1" applyBorder="1" applyAlignment="1">
      <alignment horizontal="center"/>
    </xf>
    <xf numFmtId="11" fontId="7" fillId="9" borderId="1" xfId="0" applyNumberFormat="1" applyFont="1" applyFill="1" applyBorder="1"/>
    <xf numFmtId="0" fontId="7" fillId="0" borderId="0" xfId="0" applyFont="1" applyAlignment="1">
      <alignment horizontal="center" vertical="center" wrapText="1"/>
    </xf>
    <xf numFmtId="0" fontId="10"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7" fillId="0" borderId="0" xfId="0" applyFont="1" applyAlignment="1">
      <alignment horizontal="center"/>
    </xf>
    <xf numFmtId="0" fontId="7" fillId="0" borderId="0" xfId="0" applyFont="1" applyAlignment="1">
      <alignment horizontal="left" vertical="center"/>
    </xf>
    <xf numFmtId="11" fontId="7" fillId="0" borderId="0" xfId="0" applyNumberFormat="1" applyFont="1" applyAlignment="1">
      <alignment horizontal="right" vertical="center"/>
    </xf>
    <xf numFmtId="0" fontId="7" fillId="0" borderId="0" xfId="0" applyFont="1" applyAlignment="1">
      <alignment horizontal="right" vertical="center"/>
    </xf>
    <xf numFmtId="11" fontId="6" fillId="0" borderId="0" xfId="0" applyNumberFormat="1" applyFont="1" applyAlignment="1">
      <alignment horizontal="right" vertical="center"/>
    </xf>
    <xf numFmtId="11" fontId="7" fillId="0" borderId="0" xfId="0" applyNumberFormat="1" applyFont="1" applyAlignment="1">
      <alignment horizontal="center" vertical="center"/>
    </xf>
    <xf numFmtId="11" fontId="7" fillId="0" borderId="0" xfId="0" applyNumberFormat="1" applyFont="1" applyAlignment="1">
      <alignment vertical="center"/>
    </xf>
    <xf numFmtId="11" fontId="7" fillId="0" borderId="0" xfId="0" applyNumberFormat="1" applyFont="1"/>
    <xf numFmtId="11" fontId="6" fillId="0" borderId="0" xfId="0" applyNumberFormat="1" applyFont="1"/>
    <xf numFmtId="0" fontId="10" fillId="7" borderId="1" xfId="0" applyFont="1" applyFill="1" applyBorder="1" applyAlignment="1">
      <alignment horizontal="center" vertical="center" wrapText="1"/>
    </xf>
    <xf numFmtId="0" fontId="12" fillId="7" borderId="1" xfId="0" applyFont="1" applyFill="1" applyBorder="1"/>
    <xf numFmtId="11" fontId="12" fillId="7" borderId="1" xfId="0" applyNumberFormat="1" applyFont="1" applyFill="1" applyBorder="1"/>
    <xf numFmtId="11" fontId="10" fillId="7" borderId="1" xfId="0" applyNumberFormat="1" applyFont="1" applyFill="1" applyBorder="1"/>
    <xf numFmtId="0" fontId="12" fillId="7" borderId="1" xfId="0" applyFont="1" applyFill="1" applyBorder="1" applyAlignment="1">
      <alignment vertical="center"/>
    </xf>
    <xf numFmtId="0" fontId="12" fillId="8" borderId="1" xfId="0" applyFont="1" applyFill="1" applyBorder="1"/>
    <xf numFmtId="11" fontId="12" fillId="8" borderId="1" xfId="0" applyNumberFormat="1" applyFont="1" applyFill="1" applyBorder="1"/>
    <xf numFmtId="11" fontId="10" fillId="8" borderId="1" xfId="0" applyNumberFormat="1" applyFont="1" applyFill="1" applyBorder="1"/>
    <xf numFmtId="0" fontId="12" fillId="8" borderId="1" xfId="0" applyFont="1" applyFill="1" applyBorder="1" applyAlignment="1">
      <alignment horizontal="center"/>
    </xf>
    <xf numFmtId="0" fontId="12" fillId="8" borderId="1" xfId="0" applyFont="1" applyFill="1" applyBorder="1" applyAlignment="1">
      <alignment horizontal="left" vertical="center"/>
    </xf>
    <xf numFmtId="11" fontId="12" fillId="8" borderId="1" xfId="0" applyNumberFormat="1" applyFont="1" applyFill="1" applyBorder="1" applyAlignment="1">
      <alignment vertical="center"/>
    </xf>
    <xf numFmtId="11" fontId="12" fillId="9" borderId="1" xfId="0" applyNumberFormat="1" applyFont="1" applyFill="1" applyBorder="1"/>
    <xf numFmtId="0" fontId="12" fillId="9" borderId="1" xfId="0" applyFont="1" applyFill="1" applyBorder="1"/>
    <xf numFmtId="0" fontId="12" fillId="9" borderId="1" xfId="0" applyFont="1" applyFill="1" applyBorder="1" applyAlignment="1">
      <alignment horizontal="center"/>
    </xf>
    <xf numFmtId="11" fontId="10" fillId="8" borderId="15" xfId="0" applyNumberFormat="1" applyFont="1" applyFill="1" applyBorder="1"/>
    <xf numFmtId="11" fontId="12" fillId="8" borderId="15" xfId="0" applyNumberFormat="1" applyFont="1" applyFill="1" applyBorder="1"/>
    <xf numFmtId="0" fontId="3" fillId="3" borderId="1" xfId="0" applyFont="1" applyFill="1" applyBorder="1" applyAlignment="1">
      <alignment horizontal="center" vertical="center"/>
    </xf>
    <xf numFmtId="0" fontId="14" fillId="0" borderId="0" xfId="0" applyFont="1" applyAlignment="1">
      <alignment vertical="center" wrapText="1"/>
    </xf>
    <xf numFmtId="0" fontId="14" fillId="18" borderId="10" xfId="0" applyFont="1" applyFill="1" applyBorder="1" applyAlignment="1">
      <alignment vertical="center" wrapText="1"/>
    </xf>
    <xf numFmtId="0" fontId="0" fillId="0" borderId="0" xfId="0" applyAlignment="1">
      <alignment vertical="center" wrapText="1"/>
    </xf>
    <xf numFmtId="0" fontId="0" fillId="0" borderId="0" xfId="0" applyAlignment="1">
      <alignment vertical="center"/>
    </xf>
    <xf numFmtId="16" fontId="0" fillId="0" borderId="0" xfId="0" applyNumberFormat="1" applyAlignment="1">
      <alignment horizontal="center" vertical="center"/>
    </xf>
    <xf numFmtId="0" fontId="0" fillId="18" borderId="1" xfId="0" applyFill="1" applyBorder="1" applyAlignment="1">
      <alignment horizontal="center" vertical="center"/>
    </xf>
    <xf numFmtId="0" fontId="3" fillId="0" borderId="13" xfId="0" applyFont="1" applyBorder="1" applyAlignment="1">
      <alignment horizontal="center" vertical="center"/>
    </xf>
    <xf numFmtId="0" fontId="1" fillId="0" borderId="0" xfId="0" applyFont="1" applyAlignment="1">
      <alignment vertical="center"/>
    </xf>
    <xf numFmtId="0" fontId="1" fillId="6" borderId="6" xfId="0" applyFont="1" applyFill="1" applyBorder="1" applyAlignment="1">
      <alignment vertical="center"/>
    </xf>
    <xf numFmtId="11" fontId="15" fillId="7" borderId="1" xfId="0" applyNumberFormat="1" applyFont="1" applyFill="1" applyBorder="1" applyAlignment="1">
      <alignment horizontal="center"/>
    </xf>
    <xf numFmtId="11" fontId="10" fillId="7" borderId="1" xfId="0" applyNumberFormat="1" applyFont="1" applyFill="1" applyBorder="1" applyAlignment="1">
      <alignment horizontal="center"/>
    </xf>
    <xf numFmtId="11" fontId="16" fillId="7" borderId="1" xfId="0" applyNumberFormat="1" applyFont="1" applyFill="1" applyBorder="1" applyAlignment="1">
      <alignment horizontal="center"/>
    </xf>
    <xf numFmtId="11" fontId="12" fillId="7" borderId="1" xfId="0" applyNumberFormat="1" applyFont="1" applyFill="1" applyBorder="1" applyAlignment="1">
      <alignment horizontal="center"/>
    </xf>
    <xf numFmtId="0" fontId="7" fillId="7" borderId="0" xfId="0" applyFont="1" applyFill="1"/>
    <xf numFmtId="0" fontId="12" fillId="8" borderId="1" xfId="0" applyFont="1" applyFill="1" applyBorder="1" applyAlignment="1">
      <alignment vertical="center"/>
    </xf>
    <xf numFmtId="11" fontId="12" fillId="8" borderId="1" xfId="0" applyNumberFormat="1" applyFont="1" applyFill="1" applyBorder="1" applyAlignment="1">
      <alignment horizontal="center"/>
    </xf>
    <xf numFmtId="0" fontId="12" fillId="8" borderId="10" xfId="0" applyFont="1" applyFill="1" applyBorder="1" applyAlignment="1">
      <alignment vertical="center" wrapText="1"/>
    </xf>
    <xf numFmtId="11" fontId="16" fillId="8" borderId="1" xfId="0" applyNumberFormat="1" applyFont="1" applyFill="1" applyBorder="1" applyAlignment="1">
      <alignment horizontal="center"/>
    </xf>
    <xf numFmtId="0" fontId="16" fillId="9" borderId="1" xfId="0" applyFont="1" applyFill="1" applyBorder="1" applyAlignment="1">
      <alignment horizontal="center"/>
    </xf>
    <xf numFmtId="11" fontId="12" fillId="9" borderId="1" xfId="0" applyNumberFormat="1" applyFont="1" applyFill="1" applyBorder="1" applyAlignment="1">
      <alignment horizontal="center"/>
    </xf>
    <xf numFmtId="0" fontId="7" fillId="0" borderId="1" xfId="0" applyFont="1" applyBorder="1"/>
    <xf numFmtId="0" fontId="17" fillId="0" borderId="4"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 xfId="0" applyFont="1" applyBorder="1" applyAlignment="1">
      <alignment horizontal="center" vertical="center"/>
    </xf>
    <xf numFmtId="17"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20" fillId="18" borderId="1" xfId="0" applyFont="1" applyFill="1" applyBorder="1" applyAlignment="1">
      <alignment horizontal="center" vertical="center"/>
    </xf>
    <xf numFmtId="0" fontId="20" fillId="18" borderId="1" xfId="0" applyFont="1" applyFill="1" applyBorder="1" applyAlignment="1">
      <alignment horizontal="center" vertical="center" wrapText="1"/>
    </xf>
    <xf numFmtId="0" fontId="17" fillId="0" borderId="6" xfId="0" applyFont="1" applyBorder="1" applyAlignment="1">
      <alignment horizontal="center" vertical="center"/>
    </xf>
    <xf numFmtId="0" fontId="17" fillId="0" borderId="15" xfId="0" applyFont="1" applyBorder="1" applyAlignment="1">
      <alignment horizontal="center" vertical="center"/>
    </xf>
    <xf numFmtId="0" fontId="18" fillId="0" borderId="11" xfId="0" applyFont="1" applyBorder="1" applyAlignment="1">
      <alignment horizontal="center" vertical="center" wrapText="1"/>
    </xf>
    <xf numFmtId="0" fontId="17" fillId="0" borderId="0" xfId="0" applyFont="1" applyAlignment="1">
      <alignment horizontal="center" vertical="center"/>
    </xf>
    <xf numFmtId="11" fontId="0" fillId="10" borderId="1" xfId="0" applyNumberFormat="1" applyFill="1" applyBorder="1" applyAlignment="1">
      <alignment horizontal="center" vertical="center"/>
    </xf>
    <xf numFmtId="0" fontId="22" fillId="2" borderId="1" xfId="0" applyFont="1" applyFill="1" applyBorder="1" applyAlignment="1">
      <alignment horizontal="center" vertical="center"/>
    </xf>
    <xf numFmtId="11" fontId="6" fillId="0" borderId="1" xfId="0" applyNumberFormat="1" applyFont="1" applyBorder="1"/>
    <xf numFmtId="11" fontId="7" fillId="0" borderId="1" xfId="0" applyNumberFormat="1" applyFont="1" applyBorder="1"/>
    <xf numFmtId="0" fontId="7" fillId="0" borderId="1" xfId="0" applyFont="1" applyBorder="1" applyAlignment="1">
      <alignment horizontal="center"/>
    </xf>
    <xf numFmtId="0" fontId="7" fillId="0" borderId="1" xfId="0" applyFont="1" applyBorder="1" applyAlignment="1">
      <alignment horizontal="left" vertical="center"/>
    </xf>
    <xf numFmtId="11" fontId="7" fillId="7" borderId="1" xfId="0" applyNumberFormat="1" applyFont="1" applyFill="1" applyBorder="1" applyAlignment="1">
      <alignment vertical="center"/>
    </xf>
    <xf numFmtId="0" fontId="10" fillId="11" borderId="1" xfId="0" applyFont="1" applyFill="1" applyBorder="1" applyAlignment="1">
      <alignment vertical="center" wrapText="1"/>
    </xf>
    <xf numFmtId="0" fontId="7" fillId="0" borderId="6" xfId="0" applyFont="1" applyBorder="1" applyAlignment="1">
      <alignment horizontal="left" vertical="center"/>
    </xf>
    <xf numFmtId="0" fontId="7" fillId="7" borderId="6" xfId="0" applyFont="1" applyFill="1" applyBorder="1" applyAlignment="1">
      <alignment horizontal="left" vertical="center"/>
    </xf>
    <xf numFmtId="11" fontId="7" fillId="7" borderId="6" xfId="0" applyNumberFormat="1" applyFont="1" applyFill="1" applyBorder="1" applyAlignment="1">
      <alignment horizontal="right" vertical="center"/>
    </xf>
    <xf numFmtId="0" fontId="7" fillId="7" borderId="6" xfId="0" applyFont="1" applyFill="1" applyBorder="1" applyAlignment="1">
      <alignment horizontal="right" vertical="center"/>
    </xf>
    <xf numFmtId="11" fontId="7" fillId="7" borderId="6" xfId="0" applyNumberFormat="1" applyFont="1" applyFill="1" applyBorder="1"/>
    <xf numFmtId="11" fontId="6" fillId="7" borderId="6" xfId="0" applyNumberFormat="1" applyFont="1" applyFill="1" applyBorder="1"/>
    <xf numFmtId="0" fontId="7" fillId="8" borderId="6" xfId="0" applyFont="1" applyFill="1" applyBorder="1" applyAlignment="1">
      <alignment horizontal="right" vertical="center"/>
    </xf>
    <xf numFmtId="11" fontId="7" fillId="8" borderId="6" xfId="0" applyNumberFormat="1" applyFont="1" applyFill="1" applyBorder="1" applyAlignment="1">
      <alignment horizontal="right" vertical="center"/>
    </xf>
    <xf numFmtId="0" fontId="7" fillId="8" borderId="6" xfId="0" applyFont="1" applyFill="1" applyBorder="1" applyAlignment="1">
      <alignment horizontal="left" vertical="center"/>
    </xf>
    <xf numFmtId="0" fontId="6" fillId="0" borderId="0" xfId="0" applyFont="1"/>
    <xf numFmtId="0" fontId="7" fillId="6" borderId="1" xfId="0" applyFont="1" applyFill="1" applyBorder="1"/>
    <xf numFmtId="11" fontId="7" fillId="6" borderId="1" xfId="0" applyNumberFormat="1" applyFont="1" applyFill="1" applyBorder="1"/>
    <xf numFmtId="0" fontId="7" fillId="6" borderId="1" xfId="0" applyFont="1" applyFill="1" applyBorder="1" applyAlignment="1">
      <alignment horizontal="left" vertical="center"/>
    </xf>
    <xf numFmtId="0" fontId="12" fillId="9" borderId="1" xfId="0" applyFont="1" applyFill="1" applyBorder="1" applyAlignment="1">
      <alignment horizontal="left" vertical="center"/>
    </xf>
    <xf numFmtId="11" fontId="12" fillId="9" borderId="1" xfId="0" applyNumberFormat="1" applyFont="1" applyFill="1" applyBorder="1" applyAlignment="1">
      <alignment vertical="center"/>
    </xf>
    <xf numFmtId="0" fontId="12" fillId="9" borderId="1" xfId="0" applyFont="1" applyFill="1" applyBorder="1" applyAlignment="1">
      <alignment vertical="center"/>
    </xf>
    <xf numFmtId="0" fontId="12" fillId="9" borderId="1" xfId="0" applyFont="1" applyFill="1" applyBorder="1" applyAlignment="1">
      <alignment horizontal="right" vertical="center"/>
    </xf>
    <xf numFmtId="0" fontId="7" fillId="9" borderId="0" xfId="0" applyFont="1" applyFill="1"/>
    <xf numFmtId="11" fontId="0" fillId="12" borderId="1" xfId="0" applyNumberFormat="1" applyFill="1" applyBorder="1" applyAlignment="1">
      <alignment horizontal="center" vertical="center"/>
    </xf>
    <xf numFmtId="11" fontId="3" fillId="12" borderId="1" xfId="0" applyNumberFormat="1" applyFont="1" applyFill="1" applyBorder="1" applyAlignment="1">
      <alignment horizontal="center" vertical="center"/>
    </xf>
    <xf numFmtId="0" fontId="7" fillId="6" borderId="0" xfId="0" applyFont="1" applyFill="1"/>
    <xf numFmtId="11" fontId="0" fillId="0" borderId="0" xfId="0" applyNumberFormat="1" applyAlignment="1">
      <alignment horizontal="center" vertical="center"/>
    </xf>
    <xf numFmtId="11" fontId="3" fillId="10" borderId="1" xfId="0" applyNumberFormat="1" applyFont="1" applyFill="1" applyBorder="1" applyAlignment="1">
      <alignment horizontal="center" vertical="center"/>
    </xf>
    <xf numFmtId="11" fontId="0" fillId="4" borderId="1" xfId="0" applyNumberFormat="1" applyFill="1" applyBorder="1" applyAlignment="1">
      <alignment horizontal="center" vertical="center"/>
    </xf>
    <xf numFmtId="2" fontId="0" fillId="12" borderId="1" xfId="0" applyNumberFormat="1" applyFill="1" applyBorder="1" applyAlignment="1">
      <alignment horizontal="center" vertical="center" wrapText="1"/>
    </xf>
    <xf numFmtId="164" fontId="7" fillId="9" borderId="0" xfId="0" applyNumberFormat="1" applyFont="1" applyFill="1"/>
    <xf numFmtId="11" fontId="6" fillId="9" borderId="1" xfId="0" applyNumberFormat="1" applyFont="1" applyFill="1" applyBorder="1"/>
    <xf numFmtId="11" fontId="7" fillId="9" borderId="0" xfId="0" applyNumberFormat="1" applyFont="1" applyFill="1"/>
    <xf numFmtId="0" fontId="17" fillId="0" borderId="0" xfId="0" applyFont="1" applyAlignment="1">
      <alignment vertical="center"/>
    </xf>
    <xf numFmtId="11" fontId="7" fillId="7" borderId="0" xfId="0" applyNumberFormat="1" applyFont="1" applyFill="1"/>
    <xf numFmtId="11" fontId="7" fillId="8" borderId="0" xfId="0" applyNumberFormat="1" applyFont="1" applyFill="1"/>
    <xf numFmtId="11" fontId="0" fillId="0" borderId="0" xfId="0" applyNumberFormat="1"/>
    <xf numFmtId="0" fontId="0" fillId="2" borderId="0" xfId="0" applyFill="1" applyAlignment="1">
      <alignment horizontal="center" vertical="center"/>
    </xf>
    <xf numFmtId="0" fontId="0" fillId="0" borderId="0" xfId="0"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1" fillId="18" borderId="10" xfId="0" applyFont="1" applyFill="1" applyBorder="1" applyAlignment="1">
      <alignment horizontal="center" vertical="center"/>
    </xf>
    <xf numFmtId="0" fontId="0" fillId="2" borderId="10" xfId="0" applyFill="1" applyBorder="1" applyAlignment="1">
      <alignment horizontal="center" vertical="center"/>
    </xf>
    <xf numFmtId="0" fontId="0" fillId="2" borderId="15"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18" borderId="1" xfId="0" applyFont="1" applyFill="1" applyBorder="1" applyAlignment="1">
      <alignment horizontal="center" vertical="center" wrapText="1"/>
    </xf>
    <xf numFmtId="0" fontId="1" fillId="15" borderId="2" xfId="0" applyFont="1" applyFill="1" applyBorder="1" applyAlignment="1">
      <alignment horizontal="center" vertical="center"/>
    </xf>
    <xf numFmtId="0" fontId="1" fillId="15" borderId="3" xfId="0" applyFont="1" applyFill="1" applyBorder="1" applyAlignment="1">
      <alignment horizontal="center" vertical="center"/>
    </xf>
    <xf numFmtId="0" fontId="1" fillId="15"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5" borderId="1" xfId="0" applyFill="1" applyBorder="1" applyAlignment="1">
      <alignment horizontal="center" vertical="center"/>
    </xf>
    <xf numFmtId="0" fontId="1" fillId="2"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7" borderId="1" xfId="0" applyFont="1" applyFill="1" applyBorder="1" applyAlignment="1">
      <alignment horizontal="center" vertical="center"/>
    </xf>
    <xf numFmtId="0" fontId="1" fillId="0" borderId="0" xfId="0" applyFont="1" applyAlignment="1">
      <alignment horizontal="center" vertical="center" wrapText="1"/>
    </xf>
    <xf numFmtId="0" fontId="1" fillId="18" borderId="19" xfId="0" applyFont="1" applyFill="1" applyBorder="1" applyAlignment="1">
      <alignment horizontal="center" vertical="center"/>
    </xf>
    <xf numFmtId="0" fontId="1" fillId="18" borderId="30" xfId="0" applyFont="1" applyFill="1" applyBorder="1" applyAlignment="1">
      <alignment horizontal="center" vertical="center"/>
    </xf>
    <xf numFmtId="0" fontId="1" fillId="18" borderId="0" xfId="0" applyFont="1" applyFill="1" applyAlignment="1">
      <alignment horizontal="center" vertical="center"/>
    </xf>
    <xf numFmtId="0" fontId="1" fillId="18" borderId="9" xfId="0" applyFont="1" applyFill="1" applyBorder="1" applyAlignment="1">
      <alignment horizontal="center" vertical="center"/>
    </xf>
    <xf numFmtId="0" fontId="1" fillId="18" borderId="26" xfId="0" applyFont="1" applyFill="1" applyBorder="1" applyAlignment="1">
      <alignment horizontal="center" vertical="center"/>
    </xf>
    <xf numFmtId="0" fontId="1" fillId="18" borderId="27" xfId="0" applyFont="1" applyFill="1" applyBorder="1" applyAlignment="1">
      <alignment horizontal="center" vertical="center"/>
    </xf>
    <xf numFmtId="0" fontId="1" fillId="18" borderId="1" xfId="0" applyFont="1" applyFill="1" applyBorder="1" applyAlignment="1">
      <alignment horizontal="center" vertical="center"/>
    </xf>
    <xf numFmtId="0" fontId="0" fillId="18" borderId="1" xfId="0" applyFill="1" applyBorder="1" applyAlignment="1">
      <alignment horizontal="center" vertical="center"/>
    </xf>
    <xf numFmtId="0" fontId="3" fillId="0" borderId="7" xfId="0" applyFont="1" applyBorder="1" applyAlignment="1">
      <alignment horizontal="center" vertical="center"/>
    </xf>
    <xf numFmtId="0" fontId="3" fillId="0" borderId="13" xfId="0" applyFont="1" applyBorder="1" applyAlignment="1">
      <alignment horizontal="center" vertical="center"/>
    </xf>
    <xf numFmtId="0" fontId="1" fillId="6" borderId="6" xfId="0" applyFont="1" applyFill="1" applyBorder="1" applyAlignment="1">
      <alignment horizontal="center" vertical="center"/>
    </xf>
    <xf numFmtId="0" fontId="1" fillId="6" borderId="1" xfId="0" applyFont="1" applyFill="1" applyBorder="1" applyAlignment="1">
      <alignment horizontal="center" vertical="center"/>
    </xf>
    <xf numFmtId="0" fontId="3" fillId="15" borderId="4" xfId="0" applyFont="1" applyFill="1" applyBorder="1" applyAlignment="1">
      <alignment horizontal="center" vertical="center"/>
    </xf>
    <xf numFmtId="0" fontId="3" fillId="15"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17" borderId="1" xfId="0" applyFont="1" applyFill="1" applyBorder="1" applyAlignment="1">
      <alignment horizontal="center" vertical="center"/>
    </xf>
    <xf numFmtId="0" fontId="14" fillId="18" borderId="6" xfId="0" applyFont="1" applyFill="1" applyBorder="1" applyAlignment="1">
      <alignment horizontal="center" vertical="center" wrapText="1"/>
    </xf>
    <xf numFmtId="0" fontId="14" fillId="18" borderId="10" xfId="0" applyFont="1" applyFill="1" applyBorder="1" applyAlignment="1">
      <alignment horizontal="center" vertical="center" wrapText="1"/>
    </xf>
    <xf numFmtId="0" fontId="0" fillId="2" borderId="10"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5" fillId="2" borderId="10"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 fillId="0" borderId="15" xfId="0" applyFont="1" applyBorder="1" applyAlignment="1">
      <alignment horizontal="center" vertical="center"/>
    </xf>
    <xf numFmtId="0" fontId="1" fillId="0" borderId="1" xfId="0" applyFont="1" applyBorder="1" applyAlignment="1">
      <alignment horizontal="center" vertical="center"/>
    </xf>
    <xf numFmtId="0" fontId="0" fillId="3" borderId="14" xfId="0" applyFill="1" applyBorder="1" applyAlignment="1">
      <alignment horizontal="center" vertical="center"/>
    </xf>
    <xf numFmtId="0" fontId="0" fillId="3" borderId="9" xfId="0" applyFill="1" applyBorder="1" applyAlignment="1">
      <alignment horizontal="center" vertical="center"/>
    </xf>
    <xf numFmtId="0" fontId="0" fillId="3" borderId="25" xfId="0" applyFill="1" applyBorder="1" applyAlignment="1">
      <alignment horizontal="center" vertical="center"/>
    </xf>
    <xf numFmtId="0" fontId="0" fillId="3" borderId="27" xfId="0" applyFill="1" applyBorder="1" applyAlignment="1">
      <alignment horizontal="center" vertical="center"/>
    </xf>
    <xf numFmtId="0" fontId="1" fillId="15" borderId="1" xfId="0" applyFont="1" applyFill="1" applyBorder="1" applyAlignment="1">
      <alignment horizontal="center" vertical="center"/>
    </xf>
    <xf numFmtId="0" fontId="0" fillId="3" borderId="15" xfId="0" applyFill="1" applyBorder="1" applyAlignment="1">
      <alignment horizontal="center" vertical="center"/>
    </xf>
    <xf numFmtId="0" fontId="0" fillId="3" borderId="1" xfId="0" applyFill="1" applyBorder="1" applyAlignment="1">
      <alignment horizontal="center" vertical="center"/>
    </xf>
    <xf numFmtId="0" fontId="0" fillId="3" borderId="24" xfId="0" applyFill="1" applyBorder="1" applyAlignment="1">
      <alignment horizontal="center" vertical="center"/>
    </xf>
    <xf numFmtId="0" fontId="0" fillId="3" borderId="6"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35" xfId="0" applyFill="1" applyBorder="1" applyAlignment="1">
      <alignment horizontal="center" vertical="center" wrapText="1"/>
    </xf>
    <xf numFmtId="0" fontId="1" fillId="18" borderId="2" xfId="0" applyFont="1" applyFill="1" applyBorder="1" applyAlignment="1">
      <alignment horizontal="center" vertical="center"/>
    </xf>
    <xf numFmtId="0" fontId="1" fillId="18" borderId="4" xfId="0" applyFont="1" applyFill="1" applyBorder="1" applyAlignment="1">
      <alignment horizontal="center" vertical="center"/>
    </xf>
    <xf numFmtId="0" fontId="0" fillId="2" borderId="17" xfId="0" applyFill="1" applyBorder="1" applyAlignment="1">
      <alignment horizontal="center" vertical="center"/>
    </xf>
    <xf numFmtId="0" fontId="1" fillId="18" borderId="12" xfId="0" applyFont="1" applyFill="1" applyBorder="1" applyAlignment="1">
      <alignment horizontal="center" vertical="center"/>
    </xf>
    <xf numFmtId="0" fontId="1" fillId="18" borderId="5" xfId="0" applyFont="1" applyFill="1" applyBorder="1" applyAlignment="1">
      <alignment horizontal="center" vertical="center"/>
    </xf>
    <xf numFmtId="0" fontId="1" fillId="18" borderId="8" xfId="0" applyFont="1" applyFill="1" applyBorder="1" applyAlignment="1">
      <alignment horizontal="center" vertical="center"/>
    </xf>
    <xf numFmtId="0" fontId="0" fillId="3" borderId="15" xfId="0" applyFill="1" applyBorder="1" applyAlignment="1">
      <alignment horizontal="center" vertical="center" wrapText="1"/>
    </xf>
    <xf numFmtId="0" fontId="0" fillId="3" borderId="1" xfId="0" applyFill="1" applyBorder="1" applyAlignment="1">
      <alignment horizontal="center" vertical="center" wrapText="1"/>
    </xf>
    <xf numFmtId="0" fontId="0" fillId="3" borderId="24" xfId="0" applyFill="1" applyBorder="1" applyAlignment="1">
      <alignment horizontal="center" vertical="center" wrapText="1"/>
    </xf>
    <xf numFmtId="0" fontId="1" fillId="15" borderId="1" xfId="0" applyFont="1" applyFill="1" applyBorder="1" applyAlignment="1">
      <alignment horizontal="center" vertical="center" wrapText="1"/>
    </xf>
    <xf numFmtId="0" fontId="0" fillId="18" borderId="29" xfId="0" applyFill="1" applyBorder="1" applyAlignment="1">
      <alignment horizontal="center" vertical="center"/>
    </xf>
    <xf numFmtId="0" fontId="0" fillId="18" borderId="10" xfId="0" applyFill="1" applyBorder="1" applyAlignment="1">
      <alignment horizontal="center" vertical="center"/>
    </xf>
    <xf numFmtId="0" fontId="0" fillId="18" borderId="35" xfId="0" applyFill="1" applyBorder="1" applyAlignment="1">
      <alignment horizontal="center" vertical="center"/>
    </xf>
    <xf numFmtId="0" fontId="0" fillId="3" borderId="14"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0" xfId="0" applyFill="1" applyAlignment="1">
      <alignment horizontal="center" vertical="center"/>
    </xf>
    <xf numFmtId="0" fontId="0" fillId="3" borderId="26" xfId="0" applyFill="1" applyBorder="1" applyAlignment="1">
      <alignment horizontal="center" vertical="center"/>
    </xf>
    <xf numFmtId="0" fontId="0" fillId="2" borderId="6" xfId="0" applyFill="1" applyBorder="1" applyAlignment="1">
      <alignment horizontal="center" vertical="center" wrapText="1"/>
    </xf>
    <xf numFmtId="0" fontId="0" fillId="0" borderId="1" xfId="0" applyBorder="1" applyAlignment="1">
      <alignment horizontal="center" vertical="center" wrapText="1"/>
    </xf>
    <xf numFmtId="0" fontId="0" fillId="15" borderId="1" xfId="0" applyFill="1" applyBorder="1" applyAlignment="1">
      <alignment horizontal="center" vertical="center" wrapText="1"/>
    </xf>
    <xf numFmtId="0" fontId="0" fillId="0" borderId="1" xfId="0" applyBorder="1" applyAlignment="1">
      <alignment horizontal="center" vertical="center"/>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0" fillId="13" borderId="1" xfId="0" applyFill="1" applyBorder="1" applyAlignment="1">
      <alignment horizontal="center" vertical="center"/>
    </xf>
    <xf numFmtId="0" fontId="0" fillId="13" borderId="24" xfId="0" applyFill="1" applyBorder="1" applyAlignment="1">
      <alignment horizontal="center" vertical="center"/>
    </xf>
    <xf numFmtId="0" fontId="0" fillId="4" borderId="2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center" vertical="center" wrapText="1"/>
    </xf>
    <xf numFmtId="0" fontId="0" fillId="5" borderId="1" xfId="0" applyFill="1" applyBorder="1" applyAlignment="1">
      <alignment horizontal="center" vertical="center"/>
    </xf>
    <xf numFmtId="0" fontId="0" fillId="5" borderId="6" xfId="0" applyFill="1" applyBorder="1" applyAlignment="1">
      <alignment horizontal="center" vertical="center"/>
    </xf>
    <xf numFmtId="0" fontId="0" fillId="12" borderId="6" xfId="0" applyFill="1" applyBorder="1" applyAlignment="1">
      <alignment horizontal="center" vertical="center"/>
    </xf>
    <xf numFmtId="0" fontId="0" fillId="12" borderId="10" xfId="0" applyFill="1" applyBorder="1" applyAlignment="1">
      <alignment horizontal="center" vertical="center"/>
    </xf>
    <xf numFmtId="0" fontId="0" fillId="12" borderId="15" xfId="0" applyFill="1" applyBorder="1" applyAlignment="1">
      <alignment horizontal="center" vertical="center"/>
    </xf>
    <xf numFmtId="0" fontId="0" fillId="12" borderId="12" xfId="0" applyFill="1" applyBorder="1" applyAlignment="1">
      <alignment horizontal="center" vertical="center"/>
    </xf>
    <xf numFmtId="0" fontId="0" fillId="12" borderId="5" xfId="0" applyFill="1" applyBorder="1" applyAlignment="1">
      <alignment horizontal="center" vertical="center"/>
    </xf>
    <xf numFmtId="0" fontId="0" fillId="12" borderId="8" xfId="0" applyFill="1" applyBorder="1" applyAlignment="1">
      <alignment horizontal="center" vertical="center"/>
    </xf>
    <xf numFmtId="0" fontId="0" fillId="12" borderId="14" xfId="0" applyFill="1" applyBorder="1" applyAlignment="1">
      <alignment horizontal="center" vertical="center"/>
    </xf>
    <xf numFmtId="0" fontId="0" fillId="12" borderId="0" xfId="0" applyFill="1" applyAlignment="1">
      <alignment horizontal="center" vertical="center"/>
    </xf>
    <xf numFmtId="0" fontId="0" fillId="12" borderId="9" xfId="0" applyFill="1" applyBorder="1" applyAlignment="1">
      <alignment horizontal="center" vertical="center"/>
    </xf>
    <xf numFmtId="0" fontId="0" fillId="12" borderId="11" xfId="0" applyFill="1" applyBorder="1" applyAlignment="1">
      <alignment horizontal="center" vertical="center"/>
    </xf>
    <xf numFmtId="0" fontId="0" fillId="12" borderId="7" xfId="0" applyFill="1" applyBorder="1" applyAlignment="1">
      <alignment horizontal="center" vertical="center"/>
    </xf>
    <xf numFmtId="0" fontId="0" fillId="12" borderId="13" xfId="0" applyFill="1" applyBorder="1" applyAlignment="1">
      <alignment horizontal="center" vertical="center"/>
    </xf>
    <xf numFmtId="0" fontId="0" fillId="4" borderId="17" xfId="0" applyFill="1" applyBorder="1" applyAlignment="1">
      <alignment horizontal="center" vertical="center"/>
    </xf>
    <xf numFmtId="0" fontId="0" fillId="4" borderId="1" xfId="0" applyFill="1" applyBorder="1" applyAlignment="1">
      <alignment horizontal="center" vertical="center"/>
    </xf>
    <xf numFmtId="0" fontId="0" fillId="12" borderId="12" xfId="0" applyFill="1" applyBorder="1" applyAlignment="1">
      <alignment horizontal="center" vertical="center" wrapText="1"/>
    </xf>
    <xf numFmtId="0" fontId="0" fillId="13" borderId="12" xfId="0" applyFill="1" applyBorder="1" applyAlignment="1">
      <alignment horizontal="center" vertical="center" wrapText="1"/>
    </xf>
    <xf numFmtId="0" fontId="0" fillId="13" borderId="14" xfId="0" applyFill="1" applyBorder="1" applyAlignment="1">
      <alignment horizontal="center" vertical="center"/>
    </xf>
    <xf numFmtId="0" fontId="0" fillId="13" borderId="25" xfId="0" applyFill="1" applyBorder="1" applyAlignment="1">
      <alignment horizontal="center" vertical="center"/>
    </xf>
    <xf numFmtId="0" fontId="0" fillId="13" borderId="1" xfId="0" applyFill="1" applyBorder="1" applyAlignment="1">
      <alignment horizontal="center" vertical="center" wrapText="1"/>
    </xf>
    <xf numFmtId="0" fontId="0" fillId="0" borderId="16"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4" borderId="6" xfId="0" applyFill="1" applyBorder="1" applyAlignment="1">
      <alignment horizontal="center" vertical="center" wrapText="1"/>
    </xf>
    <xf numFmtId="0" fontId="0" fillId="5" borderId="6" xfId="0" applyFill="1" applyBorder="1" applyAlignment="1">
      <alignment horizontal="center" vertical="center" wrapText="1"/>
    </xf>
    <xf numFmtId="0" fontId="0" fillId="5" borderId="10" xfId="0" applyFill="1" applyBorder="1" applyAlignment="1">
      <alignment horizontal="center" vertical="center" wrapText="1"/>
    </xf>
    <xf numFmtId="0" fontId="0" fillId="5" borderId="15"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10" xfId="0" applyFill="1" applyBorder="1" applyAlignment="1">
      <alignment horizontal="center" vertical="center" wrapText="1"/>
    </xf>
    <xf numFmtId="0" fontId="0" fillId="10" borderId="15" xfId="0" applyFill="1" applyBorder="1" applyAlignment="1">
      <alignment horizontal="center" vertical="center" wrapText="1"/>
    </xf>
    <xf numFmtId="0" fontId="0" fillId="11" borderId="1" xfId="0" applyFill="1" applyBorder="1" applyAlignment="1">
      <alignment horizontal="center" vertical="center" wrapText="1"/>
    </xf>
    <xf numFmtId="0" fontId="0" fillId="12" borderId="6" xfId="0" applyFill="1" applyBorder="1" applyAlignment="1">
      <alignment horizontal="center" vertical="center" wrapText="1"/>
    </xf>
    <xf numFmtId="0" fontId="0" fillId="12" borderId="10" xfId="0" applyFill="1" applyBorder="1" applyAlignment="1">
      <alignment horizontal="center" vertical="center" wrapText="1"/>
    </xf>
    <xf numFmtId="0" fontId="0" fillId="12" borderId="15"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35" xfId="0" applyFill="1" applyBorder="1" applyAlignment="1">
      <alignment horizontal="center" vertical="center" wrapText="1"/>
    </xf>
    <xf numFmtId="0" fontId="0" fillId="0" borderId="6" xfId="0" applyBorder="1" applyAlignment="1">
      <alignment horizontal="center" vertical="center" wrapText="1"/>
    </xf>
    <xf numFmtId="0" fontId="1" fillId="0" borderId="17" xfId="0" applyFont="1" applyBorder="1" applyAlignment="1">
      <alignment horizontal="center" vertical="center"/>
    </xf>
    <xf numFmtId="0" fontId="1" fillId="0" borderId="6" xfId="0" applyFont="1" applyBorder="1" applyAlignment="1">
      <alignment horizontal="center" vertical="center"/>
    </xf>
    <xf numFmtId="0" fontId="0" fillId="2" borderId="6" xfId="0" applyFill="1" applyBorder="1" applyAlignment="1">
      <alignment horizontal="center" vertical="center"/>
    </xf>
    <xf numFmtId="0" fontId="0" fillId="0" borderId="29" xfId="0" applyBorder="1" applyAlignment="1">
      <alignment horizontal="center" vertical="center"/>
    </xf>
    <xf numFmtId="0" fontId="0" fillId="0" borderId="10" xfId="0" applyBorder="1" applyAlignment="1">
      <alignment horizontal="center" vertical="center"/>
    </xf>
    <xf numFmtId="0" fontId="0" fillId="0" borderId="35" xfId="0" applyBorder="1" applyAlignment="1">
      <alignment horizontal="center" vertical="center"/>
    </xf>
    <xf numFmtId="0" fontId="0" fillId="0" borderId="32" xfId="0" applyBorder="1" applyAlignment="1">
      <alignment horizontal="center" vertical="center"/>
    </xf>
    <xf numFmtId="0" fontId="0" fillId="5" borderId="12" xfId="0" applyFill="1" applyBorder="1" applyAlignment="1">
      <alignment horizontal="center" vertical="center" wrapText="1"/>
    </xf>
    <xf numFmtId="0" fontId="0" fillId="5" borderId="14" xfId="0" applyFill="1" applyBorder="1" applyAlignment="1">
      <alignment horizontal="center" vertical="center"/>
    </xf>
    <xf numFmtId="0" fontId="0" fillId="5" borderId="11" xfId="0" applyFill="1" applyBorder="1" applyAlignment="1">
      <alignment horizontal="center" vertical="center"/>
    </xf>
    <xf numFmtId="0" fontId="0" fillId="10" borderId="12" xfId="0" applyFill="1" applyBorder="1" applyAlignment="1">
      <alignment horizontal="center" vertical="center" wrapText="1"/>
    </xf>
    <xf numFmtId="0" fontId="0" fillId="10" borderId="14" xfId="0" applyFill="1" applyBorder="1" applyAlignment="1">
      <alignment horizontal="center" vertical="center"/>
    </xf>
    <xf numFmtId="0" fontId="0" fillId="10" borderId="11" xfId="0" applyFill="1" applyBorder="1" applyAlignment="1">
      <alignment horizontal="center" vertical="center"/>
    </xf>
    <xf numFmtId="0" fontId="0" fillId="11" borderId="6"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15" xfId="0" applyFill="1" applyBorder="1" applyAlignment="1">
      <alignment horizontal="center" vertical="center" wrapText="1"/>
    </xf>
    <xf numFmtId="0" fontId="1" fillId="0" borderId="24" xfId="0" applyFont="1" applyBorder="1" applyAlignment="1">
      <alignment horizontal="center" vertical="center"/>
    </xf>
    <xf numFmtId="0" fontId="0" fillId="2" borderId="3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6" xfId="0" applyFill="1" applyBorder="1" applyAlignment="1">
      <alignment horizontal="center" vertical="center" wrapText="1"/>
    </xf>
    <xf numFmtId="0" fontId="1" fillId="0" borderId="1" xfId="0" applyFont="1" applyBorder="1" applyAlignment="1">
      <alignment horizontal="center" vertical="center" wrapText="1"/>
    </xf>
    <xf numFmtId="0" fontId="1" fillId="0" borderId="16"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0" fillId="10" borderId="6" xfId="0" applyFill="1" applyBorder="1" applyAlignment="1">
      <alignment horizontal="center" vertical="center"/>
    </xf>
    <xf numFmtId="0" fontId="0" fillId="10" borderId="10" xfId="0" applyFill="1" applyBorder="1" applyAlignment="1">
      <alignment horizontal="center" vertical="center"/>
    </xf>
    <xf numFmtId="0" fontId="0" fillId="10" borderId="15" xfId="0" applyFill="1" applyBorder="1" applyAlignment="1">
      <alignment horizontal="center" vertical="center"/>
    </xf>
    <xf numFmtId="0" fontId="0" fillId="3" borderId="35" xfId="0" applyFill="1" applyBorder="1" applyAlignment="1">
      <alignment horizontal="center" vertical="center"/>
    </xf>
    <xf numFmtId="0" fontId="0" fillId="4" borderId="29" xfId="0" applyFill="1" applyBorder="1" applyAlignment="1">
      <alignment horizontal="center" vertical="center"/>
    </xf>
    <xf numFmtId="0" fontId="0" fillId="4" borderId="10" xfId="0" applyFill="1" applyBorder="1" applyAlignment="1">
      <alignment horizontal="center" vertical="center"/>
    </xf>
    <xf numFmtId="0" fontId="0" fillId="4" borderId="15" xfId="0" applyFill="1" applyBorder="1" applyAlignment="1">
      <alignment horizontal="center" vertical="center"/>
    </xf>
    <xf numFmtId="0" fontId="0" fillId="5" borderId="10" xfId="0" applyFill="1" applyBorder="1" applyAlignment="1">
      <alignment horizontal="center" vertical="center"/>
    </xf>
    <xf numFmtId="0" fontId="0" fillId="5" borderId="15" xfId="0" applyFill="1" applyBorder="1" applyAlignment="1">
      <alignment horizontal="center" vertical="center"/>
    </xf>
    <xf numFmtId="0" fontId="0" fillId="10" borderId="1" xfId="0" applyFill="1" applyBorder="1" applyAlignment="1">
      <alignment horizontal="center" vertical="center" wrapText="1"/>
    </xf>
    <xf numFmtId="0" fontId="1" fillId="0" borderId="29" xfId="0" applyFont="1" applyBorder="1" applyAlignment="1">
      <alignment horizontal="center" vertical="center" wrapText="1"/>
    </xf>
    <xf numFmtId="0" fontId="1" fillId="0" borderId="19" xfId="0" applyFont="1" applyBorder="1" applyAlignment="1">
      <alignment horizontal="center" vertical="center"/>
    </xf>
    <xf numFmtId="0" fontId="1" fillId="0" borderId="30"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33"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3" xfId="0" applyFont="1" applyBorder="1" applyAlignment="1">
      <alignment horizontal="center" vertical="center"/>
    </xf>
    <xf numFmtId="0" fontId="1" fillId="0" borderId="2" xfId="0" applyFont="1" applyBorder="1" applyAlignment="1">
      <alignment horizontal="center" vertical="center"/>
    </xf>
    <xf numFmtId="0" fontId="0" fillId="2" borderId="29" xfId="0" applyFill="1" applyBorder="1" applyAlignment="1">
      <alignment horizontal="center" vertical="center"/>
    </xf>
    <xf numFmtId="0" fontId="1" fillId="10" borderId="1"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ill="1" applyBorder="1" applyAlignment="1">
      <alignment horizontal="center" vertical="center"/>
    </xf>
    <xf numFmtId="0" fontId="0" fillId="2" borderId="17"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3" borderId="12"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3" fillId="0" borderId="17" xfId="0" applyFont="1" applyBorder="1" applyAlignment="1">
      <alignment horizontal="center" vertical="center"/>
    </xf>
    <xf numFmtId="0" fontId="3" fillId="0" borderId="33" xfId="0" applyFont="1" applyBorder="1" applyAlignment="1">
      <alignment horizontal="center" vertical="center"/>
    </xf>
    <xf numFmtId="0" fontId="0" fillId="2" borderId="18" xfId="0" applyFill="1" applyBorder="1" applyAlignment="1">
      <alignment horizontal="center" vertical="center"/>
    </xf>
    <xf numFmtId="0" fontId="0" fillId="2" borderId="30" xfId="0" applyFill="1" applyBorder="1" applyAlignment="1">
      <alignment horizontal="center" vertical="center"/>
    </xf>
    <xf numFmtId="0" fontId="0" fillId="2" borderId="14" xfId="0" applyFill="1"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3" xfId="0" applyFill="1" applyBorder="1" applyAlignment="1">
      <alignment horizontal="center" vertical="center"/>
    </xf>
    <xf numFmtId="0" fontId="0" fillId="4" borderId="18"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1" xfId="0"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24" xfId="0" applyFont="1" applyFill="1" applyBorder="1" applyAlignment="1">
      <alignment horizontal="center" vertical="center" wrapText="1"/>
    </xf>
    <xf numFmtId="0" fontId="0" fillId="11" borderId="2" xfId="0" applyFill="1" applyBorder="1" applyAlignment="1">
      <alignment horizontal="center" vertical="center" wrapText="1"/>
    </xf>
    <xf numFmtId="0" fontId="0" fillId="13" borderId="2" xfId="0" applyFill="1" applyBorder="1" applyAlignment="1">
      <alignment horizontal="center" vertical="center"/>
    </xf>
    <xf numFmtId="0" fontId="0" fillId="13" borderId="36" xfId="0" applyFill="1" applyBorder="1" applyAlignment="1">
      <alignment horizontal="center" vertical="center"/>
    </xf>
    <xf numFmtId="0" fontId="1" fillId="11" borderId="6"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5" xfId="0" applyFont="1" applyFill="1" applyBorder="1" applyAlignment="1">
      <alignment horizontal="center" vertical="center" wrapText="1"/>
    </xf>
    <xf numFmtId="0" fontId="0" fillId="11" borderId="6" xfId="0" applyFill="1" applyBorder="1" applyAlignment="1">
      <alignment horizontal="center" vertical="center"/>
    </xf>
    <xf numFmtId="0" fontId="0" fillId="11" borderId="10" xfId="0" applyFill="1" applyBorder="1" applyAlignment="1">
      <alignment horizontal="center" vertical="center"/>
    </xf>
    <xf numFmtId="0" fontId="0" fillId="11" borderId="15" xfId="0" applyFill="1" applyBorder="1" applyAlignment="1">
      <alignment horizontal="center" vertical="center"/>
    </xf>
    <xf numFmtId="0" fontId="0" fillId="13" borderId="6" xfId="0" applyFill="1" applyBorder="1" applyAlignment="1">
      <alignment horizontal="center" vertical="center"/>
    </xf>
    <xf numFmtId="0" fontId="0" fillId="13" borderId="10" xfId="0" applyFill="1" applyBorder="1" applyAlignment="1">
      <alignment horizontal="center" vertical="center"/>
    </xf>
    <xf numFmtId="0" fontId="0" fillId="13" borderId="35" xfId="0" applyFill="1" applyBorder="1" applyAlignment="1">
      <alignment horizontal="center" vertical="center"/>
    </xf>
    <xf numFmtId="0" fontId="0" fillId="13" borderId="6" xfId="0" applyFill="1" applyBorder="1" applyAlignment="1">
      <alignment horizontal="center" vertical="center" wrapText="1"/>
    </xf>
    <xf numFmtId="0" fontId="0" fillId="13" borderId="10" xfId="0" applyFill="1" applyBorder="1" applyAlignment="1">
      <alignment horizontal="center" vertical="center" wrapText="1"/>
    </xf>
    <xf numFmtId="0" fontId="0" fillId="13" borderId="35" xfId="0" applyFill="1" applyBorder="1" applyAlignment="1">
      <alignment horizontal="center" vertical="center" wrapText="1"/>
    </xf>
    <xf numFmtId="0" fontId="0" fillId="10" borderId="22" xfId="0" applyFill="1" applyBorder="1" applyAlignment="1">
      <alignment horizontal="center" vertical="center"/>
    </xf>
    <xf numFmtId="0" fontId="0" fillId="11" borderId="1" xfId="0" applyFill="1" applyBorder="1" applyAlignment="1">
      <alignment horizontal="center" vertical="center"/>
    </xf>
    <xf numFmtId="0" fontId="0" fillId="11" borderId="12" xfId="0" applyFill="1" applyBorder="1" applyAlignment="1">
      <alignment horizontal="center" vertical="center" wrapText="1"/>
    </xf>
    <xf numFmtId="0" fontId="0" fillId="11" borderId="14" xfId="0" applyFill="1" applyBorder="1" applyAlignment="1">
      <alignment horizontal="center" vertical="center"/>
    </xf>
    <xf numFmtId="0" fontId="0" fillId="11" borderId="11" xfId="0" applyFill="1" applyBorder="1" applyAlignment="1">
      <alignment horizontal="center" vertical="center"/>
    </xf>
    <xf numFmtId="0" fontId="0" fillId="4" borderId="14" xfId="0" applyFill="1" applyBorder="1" applyAlignment="1">
      <alignment horizontal="center" vertical="center"/>
    </xf>
    <xf numFmtId="0" fontId="0" fillId="4" borderId="11" xfId="0" applyFill="1" applyBorder="1" applyAlignment="1">
      <alignment horizontal="center" vertical="center"/>
    </xf>
    <xf numFmtId="0" fontId="0" fillId="12" borderId="37" xfId="0" applyFill="1" applyBorder="1" applyAlignment="1">
      <alignment horizontal="center" vertical="center"/>
    </xf>
    <xf numFmtId="0" fontId="0" fillId="12" borderId="38" xfId="0" applyFill="1" applyBorder="1" applyAlignment="1">
      <alignment horizontal="center" vertical="center"/>
    </xf>
    <xf numFmtId="0" fontId="0" fillId="12" borderId="39" xfId="0" applyFill="1" applyBorder="1" applyAlignment="1">
      <alignment horizontal="center" vertical="center"/>
    </xf>
    <xf numFmtId="0" fontId="0" fillId="0" borderId="10" xfId="0" applyBorder="1" applyAlignment="1">
      <alignment horizontal="center" vertical="center" wrapText="1"/>
    </xf>
    <xf numFmtId="0" fontId="0" fillId="0" borderId="15" xfId="0" applyBorder="1" applyAlignment="1">
      <alignment horizontal="center" vertical="center" wrapText="1"/>
    </xf>
    <xf numFmtId="17" fontId="17" fillId="0" borderId="6" xfId="0" applyNumberFormat="1" applyFont="1" applyBorder="1" applyAlignment="1">
      <alignment horizontal="center" vertical="center"/>
    </xf>
    <xf numFmtId="17" fontId="17" fillId="0" borderId="15" xfId="0" applyNumberFormat="1" applyFont="1" applyBorder="1" applyAlignment="1">
      <alignment horizontal="center" vertical="center"/>
    </xf>
    <xf numFmtId="17" fontId="17" fillId="0" borderId="1" xfId="0" applyNumberFormat="1" applyFont="1" applyBorder="1" applyAlignment="1">
      <alignment horizontal="center" vertical="center"/>
    </xf>
    <xf numFmtId="0" fontId="17" fillId="0" borderId="6"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2" xfId="0" applyFont="1" applyBorder="1" applyAlignment="1">
      <alignment horizontal="center" vertical="center" wrapText="1"/>
    </xf>
    <xf numFmtId="17" fontId="17" fillId="0" borderId="10"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12"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20" fillId="18" borderId="1" xfId="0" applyFont="1" applyFill="1" applyBorder="1" applyAlignment="1">
      <alignment horizontal="center" vertical="center" wrapText="1"/>
    </xf>
    <xf numFmtId="0" fontId="20" fillId="18" borderId="1" xfId="0" applyFont="1" applyFill="1" applyBorder="1" applyAlignment="1">
      <alignment horizontal="center" vertical="center"/>
    </xf>
    <xf numFmtId="0" fontId="21" fillId="20" borderId="2" xfId="0" applyFont="1" applyFill="1" applyBorder="1" applyAlignment="1">
      <alignment horizontal="center" vertical="center"/>
    </xf>
    <xf numFmtId="0" fontId="21" fillId="20" borderId="3" xfId="0" applyFont="1" applyFill="1" applyBorder="1" applyAlignment="1">
      <alignment horizontal="center" vertical="center"/>
    </xf>
    <xf numFmtId="0" fontId="21" fillId="20" borderId="4" xfId="0" applyFont="1" applyFill="1" applyBorder="1" applyAlignment="1">
      <alignment horizontal="center" vertical="center"/>
    </xf>
    <xf numFmtId="0" fontId="20" fillId="18" borderId="6" xfId="0" applyFont="1" applyFill="1" applyBorder="1" applyAlignment="1">
      <alignment horizontal="center" vertical="center"/>
    </xf>
    <xf numFmtId="0" fontId="20" fillId="18" borderId="10" xfId="0" applyFont="1" applyFill="1" applyBorder="1" applyAlignment="1">
      <alignment horizontal="center" vertical="center"/>
    </xf>
    <xf numFmtId="0" fontId="21" fillId="20" borderId="1" xfId="0" applyFont="1" applyFill="1" applyBorder="1" applyAlignment="1">
      <alignment horizontal="center" vertical="center"/>
    </xf>
    <xf numFmtId="0" fontId="17" fillId="0" borderId="6" xfId="0" applyFont="1" applyBorder="1" applyAlignment="1">
      <alignment horizontal="center" vertical="center"/>
    </xf>
    <xf numFmtId="0" fontId="17" fillId="0" borderId="10" xfId="0" applyFont="1" applyBorder="1" applyAlignment="1">
      <alignment horizontal="center" vertical="center"/>
    </xf>
    <xf numFmtId="0" fontId="17" fillId="0" borderId="15" xfId="0" applyFont="1" applyBorder="1" applyAlignment="1">
      <alignment horizontal="center" vertical="center"/>
    </xf>
    <xf numFmtId="0" fontId="18" fillId="18" borderId="5" xfId="0" applyFont="1" applyFill="1" applyBorder="1" applyAlignment="1">
      <alignment horizontal="center" vertical="center" wrapText="1"/>
    </xf>
    <xf numFmtId="0" fontId="18" fillId="18" borderId="0" xfId="0" applyFont="1" applyFill="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3" xfId="0" applyFont="1" applyBorder="1" applyAlignment="1">
      <alignment horizontal="center" vertical="center" wrapText="1"/>
    </xf>
    <xf numFmtId="0" fontId="1" fillId="0" borderId="10" xfId="0" applyFont="1" applyBorder="1" applyAlignment="1">
      <alignment horizontal="center" vertical="center"/>
    </xf>
    <xf numFmtId="0" fontId="1" fillId="0" borderId="14"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17" borderId="6"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15" xfId="0" applyFont="1" applyFill="1" applyBorder="1" applyAlignment="1">
      <alignment horizontal="center" vertical="center" wrapText="1"/>
    </xf>
    <xf numFmtId="0" fontId="1" fillId="17" borderId="12" xfId="0" applyFont="1" applyFill="1" applyBorder="1" applyAlignment="1">
      <alignment horizontal="center" vertical="center" wrapText="1"/>
    </xf>
    <xf numFmtId="0" fontId="1" fillId="17" borderId="5" xfId="0" applyFont="1" applyFill="1" applyBorder="1" applyAlignment="1">
      <alignment horizontal="center" vertical="center" wrapText="1"/>
    </xf>
    <xf numFmtId="0" fontId="1" fillId="17" borderId="8" xfId="0" applyFont="1" applyFill="1" applyBorder="1" applyAlignment="1">
      <alignment horizontal="center" vertical="center" wrapText="1"/>
    </xf>
    <xf numFmtId="0" fontId="1" fillId="17" borderId="1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14" fillId="18" borderId="1"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0" fillId="4" borderId="6" xfId="0" applyFill="1" applyBorder="1" applyAlignment="1">
      <alignment horizontal="center" vertical="center"/>
    </xf>
    <xf numFmtId="0" fontId="3" fillId="6" borderId="6" xfId="0" applyFont="1" applyFill="1" applyBorder="1" applyAlignment="1">
      <alignment horizontal="center" vertical="center"/>
    </xf>
    <xf numFmtId="0" fontId="3" fillId="6" borderId="1" xfId="0" applyFont="1" applyFill="1" applyBorder="1" applyAlignment="1">
      <alignment horizontal="center" vertical="center"/>
    </xf>
    <xf numFmtId="0" fontId="1" fillId="4" borderId="2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0" fillId="10" borderId="8" xfId="0" applyFill="1" applyBorder="1" applyAlignment="1">
      <alignment horizontal="center" vertical="center" wrapText="1"/>
    </xf>
    <xf numFmtId="0" fontId="0" fillId="10" borderId="14"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13" xfId="0" applyFill="1" applyBorder="1" applyAlignment="1">
      <alignment horizontal="center" vertical="center" wrapText="1"/>
    </xf>
    <xf numFmtId="0" fontId="1" fillId="11" borderId="12" xfId="0" applyFont="1" applyFill="1" applyBorder="1" applyAlignment="1">
      <alignment horizontal="center" vertical="center" wrapText="1"/>
    </xf>
    <xf numFmtId="0" fontId="1" fillId="11" borderId="8"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11" borderId="9" xfId="0" applyFont="1" applyFill="1" applyBorder="1" applyAlignment="1">
      <alignment horizontal="center" vertical="center" wrapText="1"/>
    </xf>
    <xf numFmtId="0" fontId="1" fillId="11" borderId="11" xfId="0" applyFont="1" applyFill="1" applyBorder="1" applyAlignment="1">
      <alignment horizontal="center" vertical="center" wrapText="1"/>
    </xf>
    <xf numFmtId="0" fontId="1" fillId="11" borderId="13" xfId="0" applyFont="1" applyFill="1" applyBorder="1" applyAlignment="1">
      <alignment horizontal="center" vertical="center" wrapText="1"/>
    </xf>
    <xf numFmtId="0" fontId="3" fillId="13" borderId="1" xfId="0" applyFont="1" applyFill="1" applyBorder="1" applyAlignment="1">
      <alignment horizontal="center" vertical="center"/>
    </xf>
    <xf numFmtId="0" fontId="0" fillId="4" borderId="1" xfId="0" applyFill="1" applyBorder="1" applyAlignment="1">
      <alignment horizontal="center" vertical="center" wrapText="1"/>
    </xf>
    <xf numFmtId="0" fontId="0" fillId="4" borderId="12" xfId="0" applyFill="1" applyBorder="1" applyAlignment="1">
      <alignment horizontal="center" vertical="center" wrapText="1"/>
    </xf>
    <xf numFmtId="0" fontId="1" fillId="13" borderId="12"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4" xfId="0" applyFont="1" applyFill="1" applyBorder="1" applyAlignment="1">
      <alignment horizontal="center" vertical="center"/>
    </xf>
    <xf numFmtId="0" fontId="1" fillId="13" borderId="9" xfId="0" applyFont="1" applyFill="1" applyBorder="1" applyAlignment="1">
      <alignment horizontal="center" vertical="center"/>
    </xf>
    <xf numFmtId="0" fontId="1" fillId="13" borderId="6"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13" borderId="15" xfId="0" applyFont="1" applyFill="1" applyBorder="1" applyAlignment="1">
      <alignment horizontal="center" vertical="center" wrapText="1"/>
    </xf>
    <xf numFmtId="0" fontId="1" fillId="13" borderId="1" xfId="0" applyFont="1" applyFill="1" applyBorder="1" applyAlignment="1">
      <alignment horizontal="center" vertical="center"/>
    </xf>
    <xf numFmtId="0" fontId="3" fillId="13" borderId="4"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4" xfId="0" applyFont="1" applyFill="1" applyBorder="1" applyAlignment="1">
      <alignment horizontal="center" vertical="center"/>
    </xf>
    <xf numFmtId="0" fontId="1" fillId="10" borderId="12"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0" borderId="14"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10" borderId="13" xfId="0" applyFont="1" applyFill="1" applyBorder="1" applyAlignment="1">
      <alignment horizontal="center" vertical="center" wrapText="1"/>
    </xf>
    <xf numFmtId="0" fontId="1" fillId="13" borderId="25" xfId="0" applyFont="1" applyFill="1" applyBorder="1" applyAlignment="1">
      <alignment horizontal="center" vertical="center"/>
    </xf>
    <xf numFmtId="0" fontId="1" fillId="13" borderId="27" xfId="0" applyFont="1" applyFill="1" applyBorder="1" applyAlignment="1">
      <alignment horizontal="center" vertical="center"/>
    </xf>
    <xf numFmtId="0" fontId="1" fillId="13" borderId="3" xfId="0" applyFont="1" applyFill="1" applyBorder="1" applyAlignment="1">
      <alignment horizontal="center" vertical="center"/>
    </xf>
    <xf numFmtId="0" fontId="7" fillId="6" borderId="6" xfId="0" applyFont="1" applyFill="1" applyBorder="1" applyAlignment="1">
      <alignment horizontal="center"/>
    </xf>
    <xf numFmtId="0" fontId="7" fillId="6" borderId="15" xfId="0" applyFont="1" applyFill="1" applyBorder="1" applyAlignment="1">
      <alignment horizontal="center"/>
    </xf>
    <xf numFmtId="0" fontId="7" fillId="7" borderId="12"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6"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6" xfId="0" applyFont="1" applyFill="1" applyBorder="1" applyAlignment="1">
      <alignment horizontal="center" wrapText="1"/>
    </xf>
    <xf numFmtId="0" fontId="7" fillId="8" borderId="10" xfId="0" applyFont="1" applyFill="1" applyBorder="1" applyAlignment="1">
      <alignment horizontal="center"/>
    </xf>
    <xf numFmtId="11" fontId="7" fillId="9" borderId="1" xfId="0" applyNumberFormat="1" applyFont="1" applyFill="1" applyBorder="1" applyAlignment="1">
      <alignment horizontal="right" vertical="center"/>
    </xf>
    <xf numFmtId="0" fontId="7" fillId="9" borderId="1" xfId="0" applyFont="1" applyFill="1" applyBorder="1" applyAlignment="1">
      <alignment horizontal="left" vertical="center"/>
    </xf>
    <xf numFmtId="0" fontId="7" fillId="9" borderId="6" xfId="0" applyFont="1" applyFill="1" applyBorder="1" applyAlignment="1">
      <alignment horizontal="center" vertical="center" wrapText="1"/>
    </xf>
    <xf numFmtId="0" fontId="7" fillId="9" borderId="10" xfId="0" applyFont="1" applyFill="1" applyBorder="1" applyAlignment="1">
      <alignment horizontal="center" vertical="center"/>
    </xf>
    <xf numFmtId="0" fontId="7" fillId="8" borderId="1"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10" xfId="0" applyFont="1" applyFill="1" applyBorder="1" applyAlignment="1">
      <alignment horizontal="center" vertical="center"/>
    </xf>
    <xf numFmtId="0" fontId="7" fillId="9" borderId="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6" xfId="0" applyFont="1" applyFill="1" applyBorder="1" applyAlignment="1">
      <alignment horizontal="center" vertical="center"/>
    </xf>
    <xf numFmtId="0" fontId="7" fillId="9" borderId="6" xfId="0" applyFont="1" applyFill="1" applyBorder="1" applyAlignment="1">
      <alignment horizontal="center"/>
    </xf>
    <xf numFmtId="0" fontId="7" fillId="9" borderId="10" xfId="0" applyFont="1" applyFill="1" applyBorder="1" applyAlignment="1">
      <alignment horizontal="center"/>
    </xf>
    <xf numFmtId="0" fontId="7" fillId="8" borderId="6" xfId="0" applyFont="1" applyFill="1" applyBorder="1" applyAlignment="1">
      <alignment horizontal="center"/>
    </xf>
    <xf numFmtId="0" fontId="7" fillId="9" borderId="12"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8" borderId="6" xfId="0" applyFont="1" applyFill="1" applyBorder="1" applyAlignment="1">
      <alignment horizontal="center" vertical="center"/>
    </xf>
    <xf numFmtId="0" fontId="7" fillId="8" borderId="10"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1" borderId="1" xfId="0" applyFont="1" applyFill="1" applyBorder="1" applyAlignment="1">
      <alignment horizontal="center" vertical="center"/>
    </xf>
    <xf numFmtId="0" fontId="6" fillId="11" borderId="6"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7" fillId="7" borderId="6" xfId="0" applyFont="1" applyFill="1" applyBorder="1" applyAlignment="1">
      <alignment horizontal="center" vertical="center"/>
    </xf>
    <xf numFmtId="0" fontId="7" fillId="7" borderId="10" xfId="0" applyFont="1" applyFill="1" applyBorder="1" applyAlignment="1">
      <alignment horizontal="center" vertical="center"/>
    </xf>
    <xf numFmtId="0" fontId="9" fillId="11" borderId="2" xfId="0" applyFont="1" applyFill="1" applyBorder="1" applyAlignment="1">
      <alignment horizontal="center" vertical="center"/>
    </xf>
    <xf numFmtId="0" fontId="9" fillId="11" borderId="3" xfId="0" applyFont="1" applyFill="1" applyBorder="1" applyAlignment="1">
      <alignment horizontal="center" vertical="center"/>
    </xf>
    <xf numFmtId="0" fontId="9" fillId="11" borderId="4" xfId="0" applyFont="1" applyFill="1" applyBorder="1" applyAlignment="1">
      <alignment horizontal="center" vertical="center"/>
    </xf>
    <xf numFmtId="0" fontId="6" fillId="11" borderId="1" xfId="0" applyFont="1" applyFill="1" applyBorder="1" applyAlignment="1">
      <alignment horizontal="center" vertical="center"/>
    </xf>
    <xf numFmtId="0" fontId="6" fillId="11" borderId="1"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6" fillId="11" borderId="6" xfId="0" applyFont="1" applyFill="1" applyBorder="1" applyAlignment="1">
      <alignment horizontal="center" vertical="center"/>
    </xf>
    <xf numFmtId="0" fontId="6" fillId="11" borderId="15" xfId="0" applyFont="1" applyFill="1" applyBorder="1" applyAlignment="1">
      <alignment horizontal="center" vertical="center"/>
    </xf>
    <xf numFmtId="0" fontId="6" fillId="11" borderId="15"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0" fillId="11" borderId="3" xfId="0" applyFont="1" applyFill="1" applyBorder="1" applyAlignment="1">
      <alignment horizontal="center" vertical="center" wrapText="1"/>
    </xf>
    <xf numFmtId="0" fontId="7" fillId="7" borderId="1" xfId="0" applyFont="1" applyFill="1" applyBorder="1" applyAlignment="1">
      <alignment horizontal="left" vertical="center"/>
    </xf>
    <xf numFmtId="11" fontId="7" fillId="9" borderId="6" xfId="0" applyNumberFormat="1" applyFont="1" applyFill="1" applyBorder="1" applyAlignment="1">
      <alignment horizontal="right" vertical="center"/>
    </xf>
    <xf numFmtId="11" fontId="7" fillId="9" borderId="15" xfId="0" applyNumberFormat="1" applyFont="1" applyFill="1" applyBorder="1" applyAlignment="1">
      <alignment horizontal="right" vertical="center"/>
    </xf>
    <xf numFmtId="11" fontId="7" fillId="0" borderId="0" xfId="0" applyNumberFormat="1" applyFont="1" applyAlignment="1">
      <alignment horizontal="right" vertical="center"/>
    </xf>
    <xf numFmtId="0" fontId="7" fillId="0" borderId="0" xfId="0" applyFont="1" applyAlignment="1">
      <alignment horizontal="right" vertical="center"/>
    </xf>
    <xf numFmtId="0" fontId="7" fillId="0" borderId="0" xfId="0" applyFont="1" applyAlignment="1">
      <alignment horizontal="left" vertical="center"/>
    </xf>
    <xf numFmtId="0" fontId="7" fillId="0" borderId="0" xfId="0" applyFont="1" applyAlignment="1">
      <alignment horizontal="center" vertical="center" wrapText="1"/>
    </xf>
    <xf numFmtId="0" fontId="12" fillId="19" borderId="6" xfId="0" applyFont="1" applyFill="1" applyBorder="1" applyAlignment="1">
      <alignment horizontal="center" vertical="center" wrapText="1"/>
    </xf>
    <xf numFmtId="0" fontId="12" fillId="19" borderId="10" xfId="0" applyFont="1" applyFill="1" applyBorder="1" applyAlignment="1">
      <alignment horizontal="center" vertical="center" wrapText="1"/>
    </xf>
    <xf numFmtId="0" fontId="12" fillId="19" borderId="15" xfId="0" applyFont="1" applyFill="1" applyBorder="1" applyAlignment="1">
      <alignment horizontal="center" vertical="center" wrapText="1"/>
    </xf>
    <xf numFmtId="0" fontId="12" fillId="19" borderId="6" xfId="0" applyFont="1" applyFill="1" applyBorder="1" applyAlignment="1">
      <alignment horizontal="center" vertical="center"/>
    </xf>
    <xf numFmtId="0" fontId="12" fillId="19" borderId="10" xfId="0" applyFont="1" applyFill="1" applyBorder="1" applyAlignment="1">
      <alignment horizontal="center" vertical="center"/>
    </xf>
    <xf numFmtId="0" fontId="12" fillId="19" borderId="15" xfId="0" applyFont="1" applyFill="1" applyBorder="1" applyAlignment="1">
      <alignment horizontal="center" vertical="center"/>
    </xf>
    <xf numFmtId="11" fontId="6" fillId="0" borderId="0" xfId="0" applyNumberFormat="1" applyFont="1" applyAlignment="1">
      <alignment horizontal="center" vertical="center"/>
    </xf>
    <xf numFmtId="0" fontId="6" fillId="0" borderId="0" xfId="0" applyFont="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xf>
    <xf numFmtId="0" fontId="12" fillId="8" borderId="6"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9" borderId="6" xfId="0" applyFont="1" applyFill="1" applyBorder="1" applyAlignment="1">
      <alignment horizontal="center"/>
    </xf>
    <xf numFmtId="0" fontId="12" fillId="9" borderId="10" xfId="0" applyFont="1" applyFill="1" applyBorder="1" applyAlignment="1">
      <alignment horizontal="center"/>
    </xf>
    <xf numFmtId="0" fontId="12" fillId="9" borderId="15" xfId="0" applyFont="1" applyFill="1" applyBorder="1" applyAlignment="1">
      <alignment horizontal="center"/>
    </xf>
    <xf numFmtId="0" fontId="12" fillId="9" borderId="6"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15" xfId="0" applyFont="1" applyFill="1" applyBorder="1" applyAlignment="1">
      <alignment horizontal="center" vertical="center" wrapText="1"/>
    </xf>
    <xf numFmtId="0" fontId="12" fillId="9" borderId="6" xfId="0" applyFont="1" applyFill="1" applyBorder="1" applyAlignment="1">
      <alignment horizontal="center" vertical="center"/>
    </xf>
    <xf numFmtId="0" fontId="12" fillId="9" borderId="10" xfId="0" applyFont="1" applyFill="1" applyBorder="1" applyAlignment="1">
      <alignment horizontal="center" vertical="center"/>
    </xf>
    <xf numFmtId="0" fontId="12" fillId="9" borderId="15" xfId="0" applyFont="1" applyFill="1" applyBorder="1" applyAlignment="1">
      <alignment horizontal="center" vertical="center"/>
    </xf>
    <xf numFmtId="0" fontId="12" fillId="8" borderId="1" xfId="0" applyFont="1" applyFill="1" applyBorder="1" applyAlignment="1">
      <alignment horizontal="center" vertical="center" wrapText="1"/>
    </xf>
    <xf numFmtId="0" fontId="12" fillId="8" borderId="6" xfId="0" applyFont="1" applyFill="1" applyBorder="1" applyAlignment="1">
      <alignment horizontal="center"/>
    </xf>
    <xf numFmtId="0" fontId="12" fillId="8" borderId="10" xfId="0" applyFont="1" applyFill="1" applyBorder="1" applyAlignment="1">
      <alignment horizontal="center"/>
    </xf>
    <xf numFmtId="0" fontId="12" fillId="8" borderId="15" xfId="0" applyFont="1" applyFill="1" applyBorder="1" applyAlignment="1">
      <alignment horizontal="center"/>
    </xf>
    <xf numFmtId="17" fontId="12" fillId="8" borderId="6" xfId="0" applyNumberFormat="1" applyFont="1" applyFill="1" applyBorder="1" applyAlignment="1">
      <alignment horizontal="center" vertical="center"/>
    </xf>
    <xf numFmtId="0" fontId="12" fillId="8" borderId="10" xfId="0" applyFont="1" applyFill="1" applyBorder="1" applyAlignment="1">
      <alignment horizontal="center" vertical="center"/>
    </xf>
    <xf numFmtId="0" fontId="12" fillId="8" borderId="15"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17" fontId="12" fillId="7" borderId="6" xfId="0" applyNumberFormat="1" applyFont="1" applyFill="1" applyBorder="1" applyAlignment="1">
      <alignment horizontal="center" vertical="center"/>
    </xf>
    <xf numFmtId="0" fontId="12" fillId="7" borderId="10" xfId="0" applyFont="1" applyFill="1" applyBorder="1" applyAlignment="1">
      <alignment horizontal="center" vertical="center"/>
    </xf>
    <xf numFmtId="0" fontId="12" fillId="7" borderId="15" xfId="0" applyFont="1" applyFill="1" applyBorder="1" applyAlignment="1">
      <alignment horizontal="center" vertical="center"/>
    </xf>
    <xf numFmtId="0" fontId="12" fillId="7" borderId="6"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7" borderId="15" xfId="0" applyFont="1" applyFill="1" applyBorder="1" applyAlignment="1">
      <alignment horizontal="center" vertical="center" wrapText="1"/>
    </xf>
    <xf numFmtId="0" fontId="12" fillId="7" borderId="1" xfId="0" applyFont="1" applyFill="1" applyBorder="1" applyAlignment="1">
      <alignment horizontal="center"/>
    </xf>
    <xf numFmtId="0" fontId="12" fillId="7" borderId="6" xfId="0" applyFont="1" applyFill="1" applyBorder="1" applyAlignment="1">
      <alignment horizontal="center" vertical="center"/>
    </xf>
    <xf numFmtId="0" fontId="12" fillId="7" borderId="12"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11"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13"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6" fillId="11" borderId="10" xfId="0" applyFont="1" applyFill="1" applyBorder="1" applyAlignment="1">
      <alignment horizontal="center" vertical="center"/>
    </xf>
    <xf numFmtId="0" fontId="1" fillId="18" borderId="6" xfId="0" applyFont="1" applyFill="1" applyBorder="1" applyAlignment="1">
      <alignment horizontal="center" vertical="center"/>
    </xf>
    <xf numFmtId="0" fontId="1" fillId="18" borderId="15" xfId="0" applyFont="1" applyFill="1" applyBorder="1" applyAlignment="1">
      <alignment horizontal="center" vertical="center"/>
    </xf>
    <xf numFmtId="0" fontId="0" fillId="18" borderId="1" xfId="0"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1</xdr:row>
      <xdr:rowOff>9525</xdr:rowOff>
    </xdr:from>
    <xdr:to>
      <xdr:col>5</xdr:col>
      <xdr:colOff>228600</xdr:colOff>
      <xdr:row>11</xdr:row>
      <xdr:rowOff>53804</xdr:rowOff>
    </xdr:to>
    <xdr:pic>
      <xdr:nvPicPr>
        <xdr:cNvPr id="2" name="Immagine 1">
          <a:extLst>
            <a:ext uri="{FF2B5EF4-FFF2-40B4-BE49-F238E27FC236}">
              <a16:creationId xmlns:a16="http://schemas.microsoft.com/office/drawing/2014/main" id="{759BE453-B2CF-BC3D-C980-D336A41F98B4}"/>
            </a:ext>
          </a:extLst>
        </xdr:cNvPr>
        <xdr:cNvPicPr>
          <a:picLocks noChangeAspect="1"/>
        </xdr:cNvPicPr>
      </xdr:nvPicPr>
      <xdr:blipFill>
        <a:blip xmlns:r="http://schemas.openxmlformats.org/officeDocument/2006/relationships" r:embed="rId1"/>
        <a:stretch>
          <a:fillRect/>
        </a:stretch>
      </xdr:blipFill>
      <xdr:spPr>
        <a:xfrm>
          <a:off x="3476625" y="200025"/>
          <a:ext cx="1666875" cy="1949279"/>
        </a:xfrm>
        <a:prstGeom prst="rect">
          <a:avLst/>
        </a:prstGeom>
      </xdr:spPr>
    </xdr:pic>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8935-5A83-4793-A39A-3399ED6DF86C}">
  <sheetPr>
    <tabColor rgb="FFFFC000"/>
  </sheetPr>
  <dimension ref="A2:B14"/>
  <sheetViews>
    <sheetView workbookViewId="0">
      <selection activeCell="H5" sqref="H5"/>
    </sheetView>
  </sheetViews>
  <sheetFormatPr defaultRowHeight="14.4" x14ac:dyDescent="0.3"/>
  <cols>
    <col min="2" max="2" width="37.109375" bestFit="1" customWidth="1"/>
  </cols>
  <sheetData>
    <row r="2" spans="1:2" x14ac:dyDescent="0.3">
      <c r="A2">
        <v>1</v>
      </c>
      <c r="B2" t="s">
        <v>1254</v>
      </c>
    </row>
    <row r="3" spans="1:2" x14ac:dyDescent="0.3">
      <c r="A3">
        <v>2</v>
      </c>
      <c r="B3" t="s">
        <v>1255</v>
      </c>
    </row>
    <row r="4" spans="1:2" x14ac:dyDescent="0.3">
      <c r="A4">
        <v>3</v>
      </c>
      <c r="B4" t="s">
        <v>1254</v>
      </c>
    </row>
    <row r="5" spans="1:2" x14ac:dyDescent="0.3">
      <c r="A5">
        <v>4</v>
      </c>
      <c r="B5" t="s">
        <v>1256</v>
      </c>
    </row>
    <row r="6" spans="1:2" x14ac:dyDescent="0.3">
      <c r="A6">
        <v>5</v>
      </c>
      <c r="B6" t="s">
        <v>1257</v>
      </c>
    </row>
    <row r="7" spans="1:2" x14ac:dyDescent="0.3">
      <c r="A7">
        <v>6</v>
      </c>
      <c r="B7" t="s">
        <v>1256</v>
      </c>
    </row>
    <row r="8" spans="1:2" x14ac:dyDescent="0.3">
      <c r="A8">
        <v>7</v>
      </c>
      <c r="B8" t="s">
        <v>1254</v>
      </c>
    </row>
    <row r="9" spans="1:2" x14ac:dyDescent="0.3">
      <c r="A9">
        <v>8</v>
      </c>
      <c r="B9" t="s">
        <v>1256</v>
      </c>
    </row>
    <row r="10" spans="1:2" x14ac:dyDescent="0.3">
      <c r="A10">
        <v>9</v>
      </c>
      <c r="B10" t="s">
        <v>1256</v>
      </c>
    </row>
    <row r="11" spans="1:2" ht="15" x14ac:dyDescent="0.3">
      <c r="B11" s="222"/>
    </row>
    <row r="12" spans="1:2" ht="15" x14ac:dyDescent="0.3">
      <c r="B12" s="185"/>
    </row>
    <row r="13" spans="1:2" ht="15" x14ac:dyDescent="0.3">
      <c r="B13" s="185"/>
    </row>
    <row r="14" spans="1:2" ht="15" x14ac:dyDescent="0.3">
      <c r="B14" s="18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9A9F-1DFC-486C-AE29-A837BD28657B}">
  <dimension ref="A2:BQ291"/>
  <sheetViews>
    <sheetView topLeftCell="AQ1" zoomScale="57" zoomScaleNormal="85" workbookViewId="0">
      <selection activeCell="AO12" sqref="AO12:AO14"/>
    </sheetView>
  </sheetViews>
  <sheetFormatPr defaultColWidth="8.88671875" defaultRowHeight="14.4" x14ac:dyDescent="0.3"/>
  <cols>
    <col min="1" max="1" width="8.88671875" style="1"/>
    <col min="2" max="2" width="46.6640625" style="1" bestFit="1" customWidth="1"/>
    <col min="3" max="3" width="12.88671875" style="1" customWidth="1"/>
    <col min="4" max="4" width="13" style="1" bestFit="1" customWidth="1"/>
    <col min="5" max="5" width="28" style="1" bestFit="1" customWidth="1"/>
    <col min="6" max="6" width="12" style="1" customWidth="1"/>
    <col min="7" max="7" width="30.6640625" style="1" bestFit="1" customWidth="1"/>
    <col min="8" max="9" width="15.109375" style="1" customWidth="1"/>
    <col min="10" max="10" width="26.33203125" style="1" customWidth="1"/>
    <col min="11" max="11" width="15.109375" style="1" customWidth="1"/>
    <col min="12" max="13" width="25.33203125" style="1" customWidth="1"/>
    <col min="14" max="14" width="27.109375" style="1" customWidth="1"/>
    <col min="15" max="16" width="59.6640625" style="1" customWidth="1"/>
    <col min="17" max="17" width="15.88671875" style="1" bestFit="1" customWidth="1"/>
    <col min="18" max="18" width="16.88671875" style="1" bestFit="1" customWidth="1"/>
    <col min="19" max="19" width="27" style="1" bestFit="1" customWidth="1"/>
    <col min="20" max="20" width="35.88671875" style="1" bestFit="1" customWidth="1"/>
    <col min="21" max="25" width="12.5546875" style="1" customWidth="1"/>
    <col min="26" max="26" width="10.33203125" style="1" bestFit="1" customWidth="1"/>
    <col min="27" max="27" width="10.6640625" style="1" customWidth="1"/>
    <col min="28" max="28" width="18.109375" style="1" customWidth="1"/>
    <col min="29" max="29" width="54.5546875" style="1" customWidth="1"/>
    <col min="30" max="30" width="17.88671875" style="1" customWidth="1"/>
    <col min="31" max="32" width="20.109375" style="1" customWidth="1"/>
    <col min="33" max="33" width="20.44140625" style="1" customWidth="1"/>
    <col min="34" max="34" width="19.33203125" style="1" customWidth="1"/>
    <col min="35" max="36" width="8.88671875" style="1"/>
    <col min="37" max="37" width="12.6640625" style="1" customWidth="1"/>
    <col min="38" max="38" width="12.33203125" style="1" bestFit="1" customWidth="1"/>
    <col min="39" max="39" width="18.6640625" style="1" bestFit="1" customWidth="1"/>
    <col min="40" max="40" width="11.5546875" style="1" bestFit="1" customWidth="1"/>
    <col min="41" max="41" width="24.33203125" style="1" bestFit="1" customWidth="1"/>
    <col min="42" max="42" width="24.33203125" style="1" customWidth="1"/>
    <col min="43" max="43" width="24" style="1" bestFit="1" customWidth="1"/>
    <col min="44" max="44" width="26.6640625" style="1" bestFit="1" customWidth="1"/>
    <col min="45" max="45" width="18.6640625" style="1" bestFit="1" customWidth="1"/>
    <col min="46" max="46" width="18.6640625" style="1" customWidth="1"/>
    <col min="47" max="48" width="19.88671875" style="1" customWidth="1"/>
    <col min="49" max="49" width="30.6640625" style="1" bestFit="1" customWidth="1"/>
    <col min="50" max="50" width="30.6640625" style="1" customWidth="1"/>
    <col min="51" max="51" width="37.33203125" style="1" bestFit="1" customWidth="1"/>
    <col min="52" max="53" width="37.33203125" style="1" customWidth="1"/>
    <col min="54" max="54" width="31.6640625" style="1" bestFit="1" customWidth="1"/>
    <col min="55" max="55" width="31.6640625" style="1" customWidth="1"/>
    <col min="56" max="56" width="16.109375" style="1" customWidth="1"/>
    <col min="57" max="57" width="15.109375" style="1" bestFit="1" customWidth="1"/>
    <col min="58" max="58" width="28.109375" style="1" bestFit="1" customWidth="1"/>
    <col min="59" max="59" width="17.33203125" style="1" bestFit="1" customWidth="1"/>
    <col min="60" max="60" width="17.44140625" style="1" customWidth="1"/>
    <col min="61" max="68" width="8.88671875" style="1"/>
    <col min="69" max="69" width="81.44140625" style="1" bestFit="1" customWidth="1"/>
    <col min="70" max="16384" width="8.88671875" style="1"/>
  </cols>
  <sheetData>
    <row r="2" spans="1:69" x14ac:dyDescent="0.3">
      <c r="B2" s="1" t="s">
        <v>991</v>
      </c>
      <c r="O2" s="1" t="s">
        <v>5</v>
      </c>
      <c r="R2" s="227"/>
      <c r="S2" s="227"/>
      <c r="T2" s="227"/>
      <c r="U2" s="227"/>
      <c r="V2" s="227"/>
      <c r="W2" s="227"/>
      <c r="X2" s="227"/>
      <c r="Y2" s="227"/>
      <c r="Z2" s="227"/>
      <c r="AA2" s="227"/>
      <c r="AO2" s="227"/>
      <c r="AP2" s="227"/>
      <c r="AQ2" s="227"/>
      <c r="AR2" s="227"/>
      <c r="AS2" s="227"/>
      <c r="AT2" s="227"/>
      <c r="AU2" s="227"/>
      <c r="AV2" s="227"/>
      <c r="AW2" s="227"/>
    </row>
    <row r="3" spans="1:69" ht="15" thickBot="1" x14ac:dyDescent="0.35">
      <c r="AK3" s="260" t="s">
        <v>1086</v>
      </c>
      <c r="AL3" s="260"/>
      <c r="AM3" s="260"/>
      <c r="AN3" s="260"/>
      <c r="AO3" s="260"/>
      <c r="AP3" s="260"/>
      <c r="AQ3" s="260"/>
      <c r="AR3" s="260"/>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row>
    <row r="4" spans="1:69" ht="22.95" customHeight="1" x14ac:dyDescent="0.3">
      <c r="B4" s="1" t="s">
        <v>1003</v>
      </c>
      <c r="G4" s="418" t="s">
        <v>1085</v>
      </c>
      <c r="H4" s="418"/>
      <c r="I4" s="418"/>
      <c r="J4" s="418"/>
      <c r="K4" s="418"/>
      <c r="L4" s="418"/>
      <c r="M4" s="419"/>
      <c r="N4" s="419"/>
      <c r="O4" s="228" t="s">
        <v>22</v>
      </c>
      <c r="P4" s="228"/>
      <c r="Q4" s="229"/>
      <c r="R4" s="229"/>
      <c r="S4" s="229"/>
      <c r="T4" s="75" t="s">
        <v>992</v>
      </c>
      <c r="U4" s="229" t="s">
        <v>66</v>
      </c>
      <c r="V4" s="229"/>
      <c r="W4" s="229"/>
      <c r="X4" s="229"/>
      <c r="Y4" s="229"/>
      <c r="Z4" s="229"/>
      <c r="AA4" s="229"/>
      <c r="AB4" s="229"/>
      <c r="AC4" s="229"/>
      <c r="AD4" s="229"/>
      <c r="AE4" s="229"/>
      <c r="AF4" s="229"/>
      <c r="AG4" s="229"/>
      <c r="AH4" s="229"/>
      <c r="AS4" s="262" t="s">
        <v>1085</v>
      </c>
      <c r="AT4" s="263"/>
      <c r="AU4" s="263"/>
      <c r="AV4" s="263"/>
      <c r="AW4" s="263"/>
      <c r="AX4" s="263"/>
      <c r="AY4" s="263"/>
      <c r="AZ4" s="263"/>
      <c r="BA4" s="264" t="s">
        <v>22</v>
      </c>
      <c r="BB4" s="264"/>
      <c r="BC4" s="264"/>
      <c r="BD4" s="264"/>
      <c r="BE4" s="264"/>
      <c r="BF4" s="264"/>
      <c r="BG4" s="76" t="s">
        <v>992</v>
      </c>
      <c r="BH4" s="265" t="s">
        <v>66</v>
      </c>
      <c r="BI4" s="265"/>
      <c r="BJ4" s="265"/>
      <c r="BK4" s="265"/>
      <c r="BL4" s="265"/>
      <c r="BM4" s="265"/>
      <c r="BN4" s="265"/>
      <c r="BO4" s="265"/>
      <c r="BP4" s="265"/>
      <c r="BQ4" s="265"/>
    </row>
    <row r="5" spans="1:69" ht="22.95" customHeight="1" thickBot="1" x14ac:dyDescent="0.35">
      <c r="G5" s="275"/>
      <c r="H5" s="275"/>
      <c r="I5" s="275"/>
      <c r="J5" s="275"/>
      <c r="K5" s="275"/>
      <c r="L5" s="275" t="s">
        <v>23</v>
      </c>
      <c r="M5" s="275"/>
      <c r="N5" s="275"/>
      <c r="O5" s="275" t="s">
        <v>67</v>
      </c>
      <c r="P5" s="275"/>
      <c r="Q5" s="275"/>
      <c r="R5" s="275"/>
      <c r="S5" s="275"/>
      <c r="T5" s="35" t="s">
        <v>1006</v>
      </c>
      <c r="U5" s="381" t="s">
        <v>429</v>
      </c>
      <c r="V5" s="381"/>
      <c r="W5" s="381"/>
      <c r="X5" s="381"/>
      <c r="Y5" s="381"/>
      <c r="Z5" s="381"/>
      <c r="AA5" s="381"/>
      <c r="AB5" s="381"/>
      <c r="AC5" s="381" t="s">
        <v>68</v>
      </c>
      <c r="AD5" s="381"/>
      <c r="AE5" s="381"/>
      <c r="AF5" s="381"/>
      <c r="AG5" s="381"/>
      <c r="AH5" s="381"/>
      <c r="AK5" s="274" t="s">
        <v>1029</v>
      </c>
      <c r="AL5" s="274" t="s">
        <v>1008</v>
      </c>
      <c r="AM5" s="274" t="s">
        <v>1007</v>
      </c>
      <c r="AN5" s="274" t="s">
        <v>10</v>
      </c>
      <c r="AO5" s="309" t="s">
        <v>1</v>
      </c>
      <c r="AP5" s="308" t="s">
        <v>1095</v>
      </c>
      <c r="AQ5" s="274" t="s">
        <v>4</v>
      </c>
      <c r="AR5" s="274"/>
      <c r="AS5" s="280" t="s">
        <v>1005</v>
      </c>
      <c r="AT5" s="280"/>
      <c r="AU5" s="280"/>
      <c r="AV5" s="280"/>
      <c r="AW5" s="237" t="s">
        <v>23</v>
      </c>
      <c r="AX5" s="238"/>
      <c r="AY5" s="238"/>
      <c r="AZ5" s="239"/>
      <c r="BA5" s="240" t="s">
        <v>67</v>
      </c>
      <c r="BB5" s="241"/>
      <c r="BC5" s="241"/>
      <c r="BD5" s="241"/>
      <c r="BE5" s="241"/>
      <c r="BF5" s="242"/>
      <c r="BG5" s="77" t="s">
        <v>1004</v>
      </c>
      <c r="BH5" s="243" t="s">
        <v>1025</v>
      </c>
      <c r="BI5" s="243"/>
      <c r="BJ5" s="243"/>
      <c r="BK5" s="243"/>
      <c r="BL5" s="243"/>
      <c r="BM5" s="243"/>
      <c r="BN5" s="243"/>
      <c r="BO5" s="243"/>
      <c r="BP5" s="243"/>
      <c r="BQ5" s="243" t="s">
        <v>68</v>
      </c>
    </row>
    <row r="6" spans="1:69" ht="37.200000000000003" customHeight="1" x14ac:dyDescent="0.3">
      <c r="B6" s="382" t="s">
        <v>1029</v>
      </c>
      <c r="C6" s="359" t="s">
        <v>0</v>
      </c>
      <c r="D6" s="396" t="s">
        <v>25</v>
      </c>
      <c r="E6" s="397"/>
      <c r="F6" s="402" t="s">
        <v>10</v>
      </c>
      <c r="G6" s="381" t="s">
        <v>20</v>
      </c>
      <c r="H6" s="275" t="s">
        <v>21</v>
      </c>
      <c r="I6" s="275"/>
      <c r="J6" s="275"/>
      <c r="K6" s="275"/>
      <c r="L6" s="381" t="s">
        <v>69</v>
      </c>
      <c r="M6" s="381"/>
      <c r="N6" s="381" t="s">
        <v>70</v>
      </c>
      <c r="O6" s="381" t="s">
        <v>71</v>
      </c>
      <c r="P6" s="381" t="s">
        <v>997</v>
      </c>
      <c r="Q6" s="381" t="s">
        <v>24</v>
      </c>
      <c r="R6" s="381"/>
      <c r="S6" s="381"/>
      <c r="T6" s="381" t="s">
        <v>1091</v>
      </c>
      <c r="U6" s="381"/>
      <c r="V6" s="381"/>
      <c r="W6" s="381"/>
      <c r="X6" s="381"/>
      <c r="Y6" s="381"/>
      <c r="Z6" s="381"/>
      <c r="AA6" s="381"/>
      <c r="AB6" s="381"/>
      <c r="AC6" s="381"/>
      <c r="AD6" s="381"/>
      <c r="AE6" s="381"/>
      <c r="AF6" s="381"/>
      <c r="AG6" s="381"/>
      <c r="AH6" s="381"/>
      <c r="AK6" s="275"/>
      <c r="AL6" s="275"/>
      <c r="AM6" s="275"/>
      <c r="AN6" s="275"/>
      <c r="AO6" s="381"/>
      <c r="AP6" s="308"/>
      <c r="AQ6" s="275"/>
      <c r="AR6" s="275"/>
      <c r="AS6" s="280" t="s">
        <v>1017</v>
      </c>
      <c r="AT6" s="280"/>
      <c r="AU6" s="280"/>
      <c r="AV6" s="280"/>
      <c r="AW6" s="296" t="s">
        <v>69</v>
      </c>
      <c r="AX6" s="296" t="s">
        <v>1013</v>
      </c>
      <c r="AY6" s="296"/>
      <c r="AZ6" s="296"/>
      <c r="BA6" s="246" t="s">
        <v>71</v>
      </c>
      <c r="BB6" s="246"/>
      <c r="BC6" s="246" t="s">
        <v>997</v>
      </c>
      <c r="BD6" s="246"/>
      <c r="BE6" s="246" t="s">
        <v>24</v>
      </c>
      <c r="BF6" s="246"/>
      <c r="BG6" s="247" t="s">
        <v>1091</v>
      </c>
      <c r="BH6" s="243"/>
      <c r="BI6" s="243"/>
      <c r="BJ6" s="243"/>
      <c r="BK6" s="243"/>
      <c r="BL6" s="243"/>
      <c r="BM6" s="243"/>
      <c r="BN6" s="243"/>
      <c r="BO6" s="243"/>
      <c r="BP6" s="243"/>
      <c r="BQ6" s="243"/>
    </row>
    <row r="7" spans="1:69" ht="37.200000000000003" customHeight="1" x14ac:dyDescent="0.3">
      <c r="B7" s="383"/>
      <c r="C7" s="275"/>
      <c r="D7" s="398"/>
      <c r="E7" s="399"/>
      <c r="F7" s="403"/>
      <c r="G7" s="381"/>
      <c r="H7" s="381" t="s">
        <v>72</v>
      </c>
      <c r="I7" s="381"/>
      <c r="J7" s="307" t="s">
        <v>73</v>
      </c>
      <c r="K7" s="381" t="s">
        <v>74</v>
      </c>
      <c r="L7" s="381" t="s">
        <v>1088</v>
      </c>
      <c r="M7" s="381" t="s">
        <v>1087</v>
      </c>
      <c r="N7" s="381"/>
      <c r="O7" s="381"/>
      <c r="P7" s="381"/>
      <c r="Q7" s="381" t="s">
        <v>1046</v>
      </c>
      <c r="R7" s="381"/>
      <c r="S7" s="275" t="s">
        <v>14</v>
      </c>
      <c r="T7" s="381"/>
      <c r="U7" s="307" t="s">
        <v>17</v>
      </c>
      <c r="V7" s="307"/>
      <c r="W7" s="307" t="s">
        <v>18</v>
      </c>
      <c r="X7" s="307"/>
      <c r="Y7" s="307" t="s">
        <v>19</v>
      </c>
      <c r="Z7" s="307"/>
      <c r="AA7" s="307" t="s">
        <v>667</v>
      </c>
      <c r="AB7" s="307"/>
      <c r="AC7" s="2" t="s">
        <v>174</v>
      </c>
      <c r="AD7" s="307" t="s">
        <v>175</v>
      </c>
      <c r="AE7" s="307"/>
      <c r="AF7" s="307"/>
      <c r="AG7" s="307" t="s">
        <v>176</v>
      </c>
      <c r="AH7" s="307"/>
      <c r="AK7" s="275"/>
      <c r="AL7" s="275"/>
      <c r="AM7" s="275"/>
      <c r="AN7" s="275"/>
      <c r="AO7" s="381"/>
      <c r="AP7" s="308"/>
      <c r="AQ7" s="275"/>
      <c r="AR7" s="275"/>
      <c r="AS7" s="280"/>
      <c r="AT7" s="280"/>
      <c r="AU7" s="280"/>
      <c r="AV7" s="280"/>
      <c r="AW7" s="296"/>
      <c r="AX7" s="296"/>
      <c r="AY7" s="296"/>
      <c r="AZ7" s="296"/>
      <c r="BA7" s="246"/>
      <c r="BB7" s="246"/>
      <c r="BC7" s="246"/>
      <c r="BD7" s="246"/>
      <c r="BE7" s="246"/>
      <c r="BF7" s="246"/>
      <c r="BG7" s="247"/>
      <c r="BH7" s="248" t="s">
        <v>1027</v>
      </c>
      <c r="BI7" s="244" t="s">
        <v>17</v>
      </c>
      <c r="BJ7" s="244"/>
      <c r="BK7" s="244" t="s">
        <v>18</v>
      </c>
      <c r="BL7" s="244"/>
      <c r="BM7" s="244" t="s">
        <v>19</v>
      </c>
      <c r="BN7" s="244"/>
      <c r="BO7" s="244" t="s">
        <v>667</v>
      </c>
      <c r="BP7" s="244"/>
      <c r="BQ7" s="243"/>
    </row>
    <row r="8" spans="1:69" ht="29.4" thickBot="1" x14ac:dyDescent="0.35">
      <c r="B8" s="384"/>
      <c r="C8" s="375"/>
      <c r="D8" s="400"/>
      <c r="E8" s="401"/>
      <c r="F8" s="404"/>
      <c r="G8" s="381"/>
      <c r="H8" s="35" t="s">
        <v>1059</v>
      </c>
      <c r="I8" s="36" t="s">
        <v>1057</v>
      </c>
      <c r="J8" s="307"/>
      <c r="K8" s="381"/>
      <c r="L8" s="381"/>
      <c r="M8" s="381"/>
      <c r="N8" s="381"/>
      <c r="O8" s="381"/>
      <c r="P8" s="381"/>
      <c r="Q8" s="36" t="s">
        <v>15</v>
      </c>
      <c r="R8" s="36" t="s">
        <v>16</v>
      </c>
      <c r="S8" s="275"/>
      <c r="T8" s="381"/>
      <c r="U8" s="35" t="s">
        <v>2</v>
      </c>
      <c r="V8" s="35" t="s">
        <v>3</v>
      </c>
      <c r="W8" s="35" t="s">
        <v>2</v>
      </c>
      <c r="X8" s="35" t="s">
        <v>3</v>
      </c>
      <c r="Y8" s="35" t="s">
        <v>2</v>
      </c>
      <c r="Z8" s="35" t="s">
        <v>3</v>
      </c>
      <c r="AA8" s="35" t="s">
        <v>2</v>
      </c>
      <c r="AB8" s="35" t="s">
        <v>3</v>
      </c>
      <c r="AC8" s="35" t="s">
        <v>179</v>
      </c>
      <c r="AD8" s="35" t="s">
        <v>177</v>
      </c>
      <c r="AE8" s="35" t="s">
        <v>178</v>
      </c>
      <c r="AF8" s="35" t="s">
        <v>1057</v>
      </c>
      <c r="AG8" s="35" t="s">
        <v>177</v>
      </c>
      <c r="AH8" s="35" t="s">
        <v>178</v>
      </c>
      <c r="AK8" s="275"/>
      <c r="AL8" s="275"/>
      <c r="AM8" s="275"/>
      <c r="AN8" s="275"/>
      <c r="AO8" s="381"/>
      <c r="AP8" s="309"/>
      <c r="AQ8" s="275"/>
      <c r="AR8" s="275"/>
      <c r="AS8" s="65" t="s">
        <v>1016</v>
      </c>
      <c r="AT8" s="65" t="s">
        <v>1074</v>
      </c>
      <c r="AU8" s="66" t="s">
        <v>73</v>
      </c>
      <c r="AV8" s="67" t="s">
        <v>1019</v>
      </c>
      <c r="AW8" s="65" t="s">
        <v>1026</v>
      </c>
      <c r="AX8" s="65" t="s">
        <v>1036</v>
      </c>
      <c r="AY8" s="65" t="s">
        <v>1021</v>
      </c>
      <c r="AZ8" s="65" t="s">
        <v>1022</v>
      </c>
      <c r="BA8" s="246"/>
      <c r="BB8" s="246"/>
      <c r="BC8" s="69" t="s">
        <v>1071</v>
      </c>
      <c r="BD8" s="69" t="s">
        <v>1072</v>
      </c>
      <c r="BE8" s="62" t="s">
        <v>1035</v>
      </c>
      <c r="BF8" s="62" t="s">
        <v>1014</v>
      </c>
      <c r="BG8" s="247"/>
      <c r="BH8" s="248"/>
      <c r="BI8" s="72" t="s">
        <v>1023</v>
      </c>
      <c r="BJ8" s="72" t="s">
        <v>1024</v>
      </c>
      <c r="BK8" s="72" t="s">
        <v>1023</v>
      </c>
      <c r="BL8" s="72" t="s">
        <v>1024</v>
      </c>
      <c r="BM8" s="72" t="s">
        <v>1023</v>
      </c>
      <c r="BN8" s="72" t="s">
        <v>1024</v>
      </c>
      <c r="BO8" s="72" t="s">
        <v>1023</v>
      </c>
      <c r="BP8" s="72" t="s">
        <v>1024</v>
      </c>
      <c r="BQ8" s="74" t="s">
        <v>1048</v>
      </c>
    </row>
    <row r="9" spans="1:69" ht="46.95" customHeight="1" x14ac:dyDescent="0.3">
      <c r="A9" s="336"/>
      <c r="B9" s="362" t="s">
        <v>7</v>
      </c>
      <c r="C9" s="339" t="s">
        <v>1041</v>
      </c>
      <c r="D9" s="405" t="s">
        <v>8</v>
      </c>
      <c r="E9" s="289" t="s">
        <v>12</v>
      </c>
      <c r="F9" s="376" t="s">
        <v>11</v>
      </c>
      <c r="G9" s="59" t="s">
        <v>75</v>
      </c>
      <c r="H9" s="54">
        <v>141</v>
      </c>
      <c r="I9" s="232" t="s">
        <v>1058</v>
      </c>
      <c r="J9" s="59" t="s">
        <v>76</v>
      </c>
      <c r="K9" s="54">
        <v>29</v>
      </c>
      <c r="L9" s="268" t="s">
        <v>1030</v>
      </c>
      <c r="M9" s="268" t="s">
        <v>845</v>
      </c>
      <c r="N9" s="269" t="s">
        <v>1037</v>
      </c>
      <c r="O9" s="268" t="s">
        <v>1089</v>
      </c>
      <c r="P9" s="268" t="s">
        <v>998</v>
      </c>
      <c r="Q9" s="269" t="s">
        <v>1044</v>
      </c>
      <c r="R9" s="269" t="s">
        <v>1045</v>
      </c>
      <c r="S9" s="269" t="s">
        <v>994</v>
      </c>
      <c r="T9" s="272" t="s">
        <v>1092</v>
      </c>
      <c r="U9" s="59" t="s">
        <v>150</v>
      </c>
      <c r="V9" s="59" t="s">
        <v>150</v>
      </c>
      <c r="W9" s="59" t="s">
        <v>150</v>
      </c>
      <c r="X9" s="59" t="s">
        <v>150</v>
      </c>
      <c r="Y9" s="59" t="s">
        <v>150</v>
      </c>
      <c r="Z9" s="59" t="s">
        <v>150</v>
      </c>
      <c r="AA9" s="233" t="s">
        <v>668</v>
      </c>
      <c r="AB9" s="233"/>
      <c r="AC9" s="59" t="s">
        <v>180</v>
      </c>
      <c r="AD9" s="59" t="s">
        <v>181</v>
      </c>
      <c r="AE9" s="59" t="s">
        <v>182</v>
      </c>
      <c r="AF9" s="232" t="s">
        <v>1058</v>
      </c>
      <c r="AG9" s="59" t="s">
        <v>183</v>
      </c>
      <c r="AH9" s="60" t="s">
        <v>184</v>
      </c>
      <c r="AK9" s="307" t="s">
        <v>7</v>
      </c>
      <c r="AL9" s="358" t="s">
        <v>1010</v>
      </c>
      <c r="AM9" s="358" t="s">
        <v>1011</v>
      </c>
      <c r="AN9" s="358" t="s">
        <v>1009</v>
      </c>
      <c r="AO9" s="358">
        <v>2025</v>
      </c>
      <c r="AP9" s="78"/>
      <c r="AQ9" s="305" t="s">
        <v>8</v>
      </c>
      <c r="AR9" s="305" t="s">
        <v>12</v>
      </c>
      <c r="AS9" s="245">
        <v>31</v>
      </c>
      <c r="AT9" s="245" t="s">
        <v>1058</v>
      </c>
      <c r="AU9" s="306" t="s">
        <v>1018</v>
      </c>
      <c r="AV9" s="245" t="s">
        <v>1020</v>
      </c>
      <c r="AW9" s="66">
        <v>3</v>
      </c>
      <c r="AX9" s="245" t="s">
        <v>1076</v>
      </c>
      <c r="AY9" s="245">
        <v>3</v>
      </c>
      <c r="AZ9" s="245">
        <v>1</v>
      </c>
      <c r="BA9" s="271">
        <v>2</v>
      </c>
      <c r="BB9" s="3" t="s">
        <v>1012</v>
      </c>
      <c r="BC9" s="3" t="s">
        <v>1047</v>
      </c>
      <c r="BD9" s="3">
        <v>1</v>
      </c>
      <c r="BE9" s="271" t="s">
        <v>1061</v>
      </c>
      <c r="BF9" s="3">
        <v>3</v>
      </c>
      <c r="BG9" s="70">
        <v>13</v>
      </c>
      <c r="BH9" s="74" t="s">
        <v>1028</v>
      </c>
      <c r="BI9" s="71" t="s">
        <v>138</v>
      </c>
      <c r="BJ9" s="71" t="s">
        <v>147</v>
      </c>
      <c r="BK9" s="71" t="s">
        <v>140</v>
      </c>
      <c r="BL9" s="71" t="s">
        <v>148</v>
      </c>
      <c r="BM9" s="71" t="s">
        <v>142</v>
      </c>
      <c r="BN9" s="71" t="s">
        <v>149</v>
      </c>
      <c r="BO9" s="73"/>
      <c r="BP9" s="73"/>
      <c r="BQ9" s="73">
        <v>0</v>
      </c>
    </row>
    <row r="10" spans="1:69" ht="50.4" customHeight="1" x14ac:dyDescent="0.3">
      <c r="A10" s="337"/>
      <c r="B10" s="363"/>
      <c r="C10" s="305"/>
      <c r="D10" s="406"/>
      <c r="E10" s="271"/>
      <c r="F10" s="377"/>
      <c r="G10" s="3" t="s">
        <v>77</v>
      </c>
      <c r="H10" s="3" t="s">
        <v>78</v>
      </c>
      <c r="I10" s="232"/>
      <c r="J10" s="3" t="s">
        <v>79</v>
      </c>
      <c r="K10" s="3">
        <v>2</v>
      </c>
      <c r="L10" s="268"/>
      <c r="M10" s="268"/>
      <c r="N10" s="270"/>
      <c r="O10" s="268"/>
      <c r="P10" s="268"/>
      <c r="Q10" s="270"/>
      <c r="R10" s="270"/>
      <c r="S10" s="270"/>
      <c r="T10" s="272"/>
      <c r="U10" s="3" t="s">
        <v>150</v>
      </c>
      <c r="V10" s="3" t="s">
        <v>150</v>
      </c>
      <c r="W10" s="3" t="s">
        <v>150</v>
      </c>
      <c r="X10" s="3" t="s">
        <v>150</v>
      </c>
      <c r="Y10" s="3" t="s">
        <v>150</v>
      </c>
      <c r="Z10" s="3" t="s">
        <v>150</v>
      </c>
      <c r="AA10" s="271"/>
      <c r="AB10" s="271"/>
      <c r="AC10" s="3" t="s">
        <v>263</v>
      </c>
      <c r="AD10" s="3" t="s">
        <v>185</v>
      </c>
      <c r="AE10" s="3" t="s">
        <v>185</v>
      </c>
      <c r="AF10" s="232"/>
      <c r="AG10" s="3" t="s">
        <v>186</v>
      </c>
      <c r="AH10" s="18" t="s">
        <v>187</v>
      </c>
      <c r="AK10" s="307"/>
      <c r="AL10" s="459"/>
      <c r="AM10" s="459"/>
      <c r="AN10" s="459"/>
      <c r="AO10" s="459"/>
      <c r="AP10" s="79"/>
      <c r="AQ10" s="305"/>
      <c r="AR10" s="305"/>
      <c r="AS10" s="245"/>
      <c r="AT10" s="245"/>
      <c r="AU10" s="306"/>
      <c r="AV10" s="245"/>
      <c r="AW10" s="66">
        <v>6</v>
      </c>
      <c r="AX10" s="245"/>
      <c r="AY10" s="245"/>
      <c r="AZ10" s="245"/>
      <c r="BA10" s="271"/>
      <c r="BB10" s="3" t="s">
        <v>1015</v>
      </c>
      <c r="BC10" s="3" t="s">
        <v>1047</v>
      </c>
      <c r="BD10" s="3">
        <v>1</v>
      </c>
      <c r="BE10" s="271"/>
      <c r="BF10" s="3">
        <v>1</v>
      </c>
      <c r="BG10" s="70">
        <v>13</v>
      </c>
      <c r="BH10" s="74" t="s">
        <v>1028</v>
      </c>
      <c r="BI10" s="73"/>
      <c r="BJ10" s="73"/>
      <c r="BK10" s="73"/>
      <c r="BL10" s="73"/>
      <c r="BM10" s="73"/>
      <c r="BN10" s="73"/>
      <c r="BO10" s="73"/>
      <c r="BP10" s="73"/>
      <c r="BQ10" s="73">
        <v>3</v>
      </c>
    </row>
    <row r="11" spans="1:69" ht="43.2" x14ac:dyDescent="0.3">
      <c r="A11" s="337"/>
      <c r="B11" s="363"/>
      <c r="C11" s="305"/>
      <c r="D11" s="406"/>
      <c r="E11" s="271"/>
      <c r="F11" s="377"/>
      <c r="G11" s="3" t="s">
        <v>80</v>
      </c>
      <c r="H11" s="3">
        <v>137</v>
      </c>
      <c r="I11" s="232"/>
      <c r="J11" s="3" t="s">
        <v>76</v>
      </c>
      <c r="K11" s="3">
        <v>103</v>
      </c>
      <c r="L11" s="268"/>
      <c r="M11" s="268"/>
      <c r="N11" s="270"/>
      <c r="O11" s="268"/>
      <c r="P11" s="268"/>
      <c r="Q11" s="270"/>
      <c r="R11" s="270"/>
      <c r="S11" s="270"/>
      <c r="T11" s="272"/>
      <c r="U11" s="3" t="s">
        <v>150</v>
      </c>
      <c r="V11" s="3" t="s">
        <v>150</v>
      </c>
      <c r="W11" s="3" t="s">
        <v>150</v>
      </c>
      <c r="X11" s="3" t="s">
        <v>150</v>
      </c>
      <c r="Y11" s="3" t="s">
        <v>150</v>
      </c>
      <c r="Z11" s="3" t="s">
        <v>150</v>
      </c>
      <c r="AA11" s="271"/>
      <c r="AB11" s="271"/>
      <c r="AC11" s="3" t="s">
        <v>188</v>
      </c>
      <c r="AD11" s="3" t="s">
        <v>189</v>
      </c>
      <c r="AE11" s="3" t="s">
        <v>190</v>
      </c>
      <c r="AF11" s="232"/>
      <c r="AG11" s="3" t="s">
        <v>191</v>
      </c>
      <c r="AH11" s="18" t="s">
        <v>192</v>
      </c>
      <c r="AK11" s="307"/>
      <c r="AL11" s="460"/>
      <c r="AM11" s="460"/>
      <c r="AN11" s="460"/>
      <c r="AO11" s="460"/>
      <c r="AP11" s="80"/>
      <c r="AQ11" s="305"/>
      <c r="AR11" s="2" t="s">
        <v>9</v>
      </c>
      <c r="AS11" s="66">
        <v>31</v>
      </c>
      <c r="AT11" s="66" t="s">
        <v>1058</v>
      </c>
      <c r="AU11" s="67" t="s">
        <v>1018</v>
      </c>
      <c r="AV11" s="66" t="s">
        <v>1040</v>
      </c>
      <c r="AW11" s="66">
        <v>3</v>
      </c>
      <c r="AX11" s="66" t="s">
        <v>1076</v>
      </c>
      <c r="AY11" s="66">
        <v>9</v>
      </c>
      <c r="AZ11" s="66">
        <v>1</v>
      </c>
      <c r="BA11" s="3">
        <v>1</v>
      </c>
      <c r="BB11" s="3" t="s">
        <v>1015</v>
      </c>
      <c r="BC11" s="3" t="s">
        <v>1047</v>
      </c>
      <c r="BD11" s="3">
        <v>1</v>
      </c>
      <c r="BE11" s="3" t="s">
        <v>1062</v>
      </c>
      <c r="BF11" s="3">
        <v>1</v>
      </c>
      <c r="BG11" s="70">
        <v>13</v>
      </c>
      <c r="BH11" s="74" t="s">
        <v>1028</v>
      </c>
      <c r="BI11" s="73"/>
      <c r="BJ11" s="73"/>
      <c r="BK11" s="73"/>
      <c r="BL11" s="73"/>
      <c r="BM11" s="73"/>
      <c r="BN11" s="73"/>
      <c r="BO11" s="73"/>
      <c r="BP11" s="73"/>
      <c r="BQ11" s="73">
        <v>3</v>
      </c>
    </row>
    <row r="12" spans="1:69" ht="28.95" customHeight="1" x14ac:dyDescent="0.3">
      <c r="A12" s="337"/>
      <c r="B12" s="363"/>
      <c r="C12" s="305"/>
      <c r="D12" s="406"/>
      <c r="E12" s="271"/>
      <c r="F12" s="377"/>
      <c r="G12" s="3" t="s">
        <v>81</v>
      </c>
      <c r="H12" s="3" t="s">
        <v>82</v>
      </c>
      <c r="I12" s="232"/>
      <c r="J12" s="3" t="s">
        <v>76</v>
      </c>
      <c r="K12" s="3">
        <v>3</v>
      </c>
      <c r="L12" s="268"/>
      <c r="M12" s="268"/>
      <c r="N12" s="270"/>
      <c r="O12" s="268"/>
      <c r="P12" s="268"/>
      <c r="Q12" s="270"/>
      <c r="R12" s="270"/>
      <c r="S12" s="270"/>
      <c r="T12" s="272"/>
      <c r="U12" s="3" t="s">
        <v>150</v>
      </c>
      <c r="V12" s="3" t="s">
        <v>150</v>
      </c>
      <c r="W12" s="3" t="s">
        <v>150</v>
      </c>
      <c r="X12" s="3" t="s">
        <v>150</v>
      </c>
      <c r="Y12" s="3" t="s">
        <v>150</v>
      </c>
      <c r="Z12" s="3" t="s">
        <v>150</v>
      </c>
      <c r="AA12" s="271"/>
      <c r="AB12" s="271"/>
      <c r="AC12" s="3" t="s">
        <v>193</v>
      </c>
      <c r="AD12" s="3" t="s">
        <v>194</v>
      </c>
      <c r="AE12" s="3" t="s">
        <v>194</v>
      </c>
      <c r="AF12" s="232"/>
      <c r="AG12" s="3" t="s">
        <v>195</v>
      </c>
      <c r="AH12" s="18" t="s">
        <v>196</v>
      </c>
      <c r="AK12" s="307" t="s">
        <v>169</v>
      </c>
      <c r="AL12" s="358" t="s">
        <v>1010</v>
      </c>
      <c r="AM12" s="358" t="s">
        <v>1011</v>
      </c>
      <c r="AN12" s="358" t="s">
        <v>1009</v>
      </c>
      <c r="AO12" s="358">
        <v>2025</v>
      </c>
      <c r="AP12" s="78"/>
      <c r="AQ12" s="305" t="s">
        <v>8</v>
      </c>
      <c r="AR12" s="305" t="s">
        <v>12</v>
      </c>
      <c r="AS12" s="245">
        <v>38</v>
      </c>
      <c r="AT12" s="245" t="s">
        <v>1058</v>
      </c>
      <c r="AU12" s="306" t="s">
        <v>1018</v>
      </c>
      <c r="AV12" s="245" t="s">
        <v>1055</v>
      </c>
      <c r="AW12" s="66">
        <v>3</v>
      </c>
      <c r="AX12" s="245" t="s">
        <v>1076</v>
      </c>
      <c r="AY12" s="245">
        <v>3</v>
      </c>
      <c r="AZ12" s="245">
        <v>1</v>
      </c>
      <c r="BA12" s="271">
        <v>2</v>
      </c>
      <c r="BB12" s="3" t="s">
        <v>1012</v>
      </c>
      <c r="BC12" s="3" t="s">
        <v>1047</v>
      </c>
      <c r="BD12" s="3">
        <v>1</v>
      </c>
      <c r="BE12" s="271" t="s">
        <v>1061</v>
      </c>
      <c r="BF12" s="3">
        <v>3</v>
      </c>
      <c r="BG12" s="70">
        <v>13</v>
      </c>
      <c r="BH12" s="74" t="s">
        <v>1028</v>
      </c>
      <c r="BI12" s="71" t="s">
        <v>1049</v>
      </c>
      <c r="BJ12" s="71" t="s">
        <v>1050</v>
      </c>
      <c r="BK12" s="71" t="s">
        <v>1051</v>
      </c>
      <c r="BL12" s="71" t="s">
        <v>1052</v>
      </c>
      <c r="BM12" s="71" t="s">
        <v>1053</v>
      </c>
      <c r="BN12" s="71" t="s">
        <v>1054</v>
      </c>
      <c r="BO12" s="73"/>
      <c r="BP12" s="73"/>
      <c r="BQ12" s="73">
        <v>0</v>
      </c>
    </row>
    <row r="13" spans="1:69" ht="28.8" x14ac:dyDescent="0.3">
      <c r="A13" s="337"/>
      <c r="B13" s="363"/>
      <c r="C13" s="305"/>
      <c r="D13" s="406"/>
      <c r="E13" s="271"/>
      <c r="F13" s="377"/>
      <c r="G13" s="3" t="s">
        <v>83</v>
      </c>
      <c r="H13" s="3" t="s">
        <v>84</v>
      </c>
      <c r="I13" s="232"/>
      <c r="J13" s="3" t="s">
        <v>76</v>
      </c>
      <c r="K13" s="3">
        <v>1</v>
      </c>
      <c r="L13" s="268"/>
      <c r="M13" s="268"/>
      <c r="N13" s="270"/>
      <c r="O13" s="268"/>
      <c r="P13" s="268"/>
      <c r="Q13" s="270"/>
      <c r="R13" s="270"/>
      <c r="S13" s="270"/>
      <c r="T13" s="272"/>
      <c r="U13" s="3" t="s">
        <v>150</v>
      </c>
      <c r="V13" s="3" t="s">
        <v>150</v>
      </c>
      <c r="W13" s="3" t="s">
        <v>150</v>
      </c>
      <c r="X13" s="3" t="s">
        <v>150</v>
      </c>
      <c r="Y13" s="3" t="s">
        <v>150</v>
      </c>
      <c r="Z13" s="3" t="s">
        <v>150</v>
      </c>
      <c r="AA13" s="271"/>
      <c r="AB13" s="271"/>
      <c r="AC13" s="3" t="s">
        <v>197</v>
      </c>
      <c r="AD13" s="3" t="s">
        <v>198</v>
      </c>
      <c r="AE13" s="3" t="s">
        <v>198</v>
      </c>
      <c r="AF13" s="232"/>
      <c r="AG13" s="3" t="s">
        <v>198</v>
      </c>
      <c r="AH13" s="18" t="s">
        <v>198</v>
      </c>
      <c r="AK13" s="307"/>
      <c r="AL13" s="459"/>
      <c r="AM13" s="459"/>
      <c r="AN13" s="459"/>
      <c r="AO13" s="459"/>
      <c r="AP13" s="79"/>
      <c r="AQ13" s="305"/>
      <c r="AR13" s="305"/>
      <c r="AS13" s="245"/>
      <c r="AT13" s="245"/>
      <c r="AU13" s="306"/>
      <c r="AV13" s="245"/>
      <c r="AW13" s="66">
        <v>6</v>
      </c>
      <c r="AX13" s="245"/>
      <c r="AY13" s="245"/>
      <c r="AZ13" s="245"/>
      <c r="BA13" s="271"/>
      <c r="BB13" s="3" t="s">
        <v>1015</v>
      </c>
      <c r="BC13" s="3" t="s">
        <v>1047</v>
      </c>
      <c r="BD13" s="3">
        <v>1</v>
      </c>
      <c r="BE13" s="271"/>
      <c r="BF13" s="3">
        <v>1</v>
      </c>
      <c r="BG13" s="70">
        <v>13</v>
      </c>
      <c r="BH13" s="74" t="s">
        <v>1028</v>
      </c>
      <c r="BI13" s="73"/>
      <c r="BJ13" s="73"/>
      <c r="BK13" s="73"/>
      <c r="BL13" s="73"/>
      <c r="BM13" s="73"/>
      <c r="BN13" s="73"/>
      <c r="BO13" s="73"/>
      <c r="BP13" s="73"/>
      <c r="BQ13" s="73">
        <v>3</v>
      </c>
    </row>
    <row r="14" spans="1:69" ht="43.2" x14ac:dyDescent="0.3">
      <c r="A14" s="337"/>
      <c r="B14" s="363"/>
      <c r="C14" s="305"/>
      <c r="D14" s="406"/>
      <c r="E14" s="271"/>
      <c r="F14" s="377"/>
      <c r="G14" s="3" t="s">
        <v>85</v>
      </c>
      <c r="H14" s="3">
        <v>138</v>
      </c>
      <c r="I14" s="232"/>
      <c r="J14" s="3" t="s">
        <v>76</v>
      </c>
      <c r="K14" s="3">
        <v>100</v>
      </c>
      <c r="L14" s="268"/>
      <c r="M14" s="268"/>
      <c r="N14" s="270"/>
      <c r="O14" s="268"/>
      <c r="P14" s="268"/>
      <c r="Q14" s="270"/>
      <c r="R14" s="270"/>
      <c r="S14" s="270"/>
      <c r="T14" s="272"/>
      <c r="U14" s="3" t="s">
        <v>150</v>
      </c>
      <c r="V14" s="3" t="s">
        <v>150</v>
      </c>
      <c r="W14" s="3" t="s">
        <v>150</v>
      </c>
      <c r="X14" s="3" t="s">
        <v>150</v>
      </c>
      <c r="Y14" s="3" t="s">
        <v>150</v>
      </c>
      <c r="Z14" s="3" t="s">
        <v>150</v>
      </c>
      <c r="AA14" s="271"/>
      <c r="AB14" s="271"/>
      <c r="AC14" s="3" t="s">
        <v>199</v>
      </c>
      <c r="AD14" s="3" t="s">
        <v>200</v>
      </c>
      <c r="AE14" s="3" t="s">
        <v>201</v>
      </c>
      <c r="AF14" s="232"/>
      <c r="AG14" s="3" t="s">
        <v>202</v>
      </c>
      <c r="AH14" s="18" t="s">
        <v>203</v>
      </c>
      <c r="AK14" s="307"/>
      <c r="AL14" s="460"/>
      <c r="AM14" s="460"/>
      <c r="AN14" s="460"/>
      <c r="AO14" s="460"/>
      <c r="AP14" s="80"/>
      <c r="AQ14" s="305"/>
      <c r="AR14" s="2" t="s">
        <v>9</v>
      </c>
      <c r="AS14" s="66">
        <v>32</v>
      </c>
      <c r="AT14" s="66" t="s">
        <v>1058</v>
      </c>
      <c r="AU14" s="67" t="s">
        <v>1018</v>
      </c>
      <c r="AV14" s="66" t="s">
        <v>1056</v>
      </c>
      <c r="AW14" s="66">
        <v>3</v>
      </c>
      <c r="AX14" s="66" t="s">
        <v>1076</v>
      </c>
      <c r="AY14" s="66">
        <v>9</v>
      </c>
      <c r="AZ14" s="66">
        <v>1</v>
      </c>
      <c r="BA14" s="3">
        <v>1</v>
      </c>
      <c r="BB14" s="3" t="s">
        <v>1015</v>
      </c>
      <c r="BC14" s="3" t="s">
        <v>1047</v>
      </c>
      <c r="BD14" s="3">
        <v>1</v>
      </c>
      <c r="BE14" s="3" t="s">
        <v>1062</v>
      </c>
      <c r="BF14" s="3">
        <v>1</v>
      </c>
      <c r="BG14" s="70">
        <v>13</v>
      </c>
      <c r="BH14" s="74" t="s">
        <v>1028</v>
      </c>
      <c r="BI14" s="73"/>
      <c r="BJ14" s="73"/>
      <c r="BK14" s="73"/>
      <c r="BL14" s="73"/>
      <c r="BM14" s="73"/>
      <c r="BN14" s="73"/>
      <c r="BO14" s="73"/>
      <c r="BP14" s="73"/>
      <c r="BQ14" s="73">
        <v>3</v>
      </c>
    </row>
    <row r="15" spans="1:69" ht="28.95" customHeight="1" x14ac:dyDescent="0.3">
      <c r="A15" s="337"/>
      <c r="B15" s="363"/>
      <c r="C15" s="305"/>
      <c r="D15" s="406"/>
      <c r="E15" s="271"/>
      <c r="F15" s="377"/>
      <c r="G15" s="3" t="s">
        <v>86</v>
      </c>
      <c r="H15" s="3">
        <v>253</v>
      </c>
      <c r="I15" s="232"/>
      <c r="J15" s="3" t="s">
        <v>76</v>
      </c>
      <c r="K15" s="3">
        <v>158</v>
      </c>
      <c r="L15" s="268"/>
      <c r="M15" s="268"/>
      <c r="N15" s="270"/>
      <c r="O15" s="268"/>
      <c r="P15" s="268"/>
      <c r="Q15" s="270"/>
      <c r="R15" s="270"/>
      <c r="S15" s="270"/>
      <c r="T15" s="272"/>
      <c r="U15" s="3" t="s">
        <v>150</v>
      </c>
      <c r="V15" s="3" t="s">
        <v>150</v>
      </c>
      <c r="W15" s="3" t="s">
        <v>150</v>
      </c>
      <c r="X15" s="3" t="s">
        <v>150</v>
      </c>
      <c r="Y15" s="3" t="s">
        <v>150</v>
      </c>
      <c r="Z15" s="3" t="s">
        <v>150</v>
      </c>
      <c r="AA15" s="271"/>
      <c r="AB15" s="271"/>
      <c r="AC15" s="3" t="s">
        <v>204</v>
      </c>
      <c r="AD15" s="3" t="s">
        <v>205</v>
      </c>
      <c r="AE15" s="3" t="s">
        <v>206</v>
      </c>
      <c r="AF15" s="232"/>
      <c r="AG15" s="3" t="s">
        <v>207</v>
      </c>
      <c r="AH15" s="18" t="s">
        <v>208</v>
      </c>
      <c r="AK15" s="307" t="s">
        <v>646</v>
      </c>
      <c r="AL15" s="358" t="s">
        <v>1010</v>
      </c>
      <c r="AM15" s="358" t="s">
        <v>1011</v>
      </c>
      <c r="AN15" s="358" t="s">
        <v>1009</v>
      </c>
      <c r="AO15" s="358">
        <v>2025</v>
      </c>
      <c r="AP15" s="78"/>
      <c r="AQ15" s="307" t="s">
        <v>1063</v>
      </c>
      <c r="AR15" s="307" t="s">
        <v>923</v>
      </c>
      <c r="AS15" s="245">
        <v>32</v>
      </c>
      <c r="AT15" s="245" t="s">
        <v>1064</v>
      </c>
      <c r="AU15" s="306" t="s">
        <v>1018</v>
      </c>
      <c r="AV15" s="245" t="s">
        <v>1065</v>
      </c>
      <c r="AW15" s="66">
        <v>3</v>
      </c>
      <c r="AX15" s="245" t="s">
        <v>1073</v>
      </c>
      <c r="AY15" s="245">
        <v>3</v>
      </c>
      <c r="AZ15" s="245">
        <v>1</v>
      </c>
      <c r="BA15" s="271">
        <v>2</v>
      </c>
      <c r="BB15" s="3" t="s">
        <v>1012</v>
      </c>
      <c r="BC15" s="271" t="s">
        <v>1047</v>
      </c>
      <c r="BD15" s="3">
        <v>1</v>
      </c>
      <c r="BE15" s="271" t="s">
        <v>1061</v>
      </c>
      <c r="BF15" s="3">
        <v>1</v>
      </c>
      <c r="BG15" s="70">
        <v>13</v>
      </c>
      <c r="BH15" s="74" t="s">
        <v>1028</v>
      </c>
      <c r="BI15" s="73"/>
      <c r="BJ15" s="73"/>
      <c r="BK15" s="73"/>
      <c r="BL15" s="73"/>
      <c r="BM15" s="73"/>
      <c r="BN15" s="73"/>
      <c r="BO15" s="73" t="s">
        <v>150</v>
      </c>
      <c r="BP15" s="71" t="s">
        <v>687</v>
      </c>
      <c r="BQ15" s="73">
        <v>0</v>
      </c>
    </row>
    <row r="16" spans="1:69" ht="28.8" x14ac:dyDescent="0.3">
      <c r="A16" s="337"/>
      <c r="B16" s="363"/>
      <c r="C16" s="305"/>
      <c r="D16" s="406"/>
      <c r="E16" s="271"/>
      <c r="F16" s="377"/>
      <c r="G16" s="3" t="s">
        <v>87</v>
      </c>
      <c r="H16" s="3">
        <v>219</v>
      </c>
      <c r="I16" s="232"/>
      <c r="J16" s="3" t="s">
        <v>76</v>
      </c>
      <c r="K16" s="3">
        <v>100</v>
      </c>
      <c r="L16" s="268"/>
      <c r="M16" s="268"/>
      <c r="N16" s="270"/>
      <c r="O16" s="268"/>
      <c r="P16" s="268"/>
      <c r="Q16" s="270"/>
      <c r="R16" s="270"/>
      <c r="S16" s="270"/>
      <c r="T16" s="272"/>
      <c r="U16" s="3" t="s">
        <v>150</v>
      </c>
      <c r="V16" s="3" t="s">
        <v>150</v>
      </c>
      <c r="W16" s="3" t="s">
        <v>150</v>
      </c>
      <c r="X16" s="3" t="s">
        <v>150</v>
      </c>
      <c r="Y16" s="3" t="s">
        <v>150</v>
      </c>
      <c r="Z16" s="3" t="s">
        <v>150</v>
      </c>
      <c r="AA16" s="271"/>
      <c r="AB16" s="271"/>
      <c r="AC16" s="3" t="s">
        <v>209</v>
      </c>
      <c r="AD16" s="3" t="s">
        <v>210</v>
      </c>
      <c r="AE16" s="3" t="s">
        <v>211</v>
      </c>
      <c r="AF16" s="232"/>
      <c r="AG16" s="3" t="s">
        <v>212</v>
      </c>
      <c r="AH16" s="18" t="s">
        <v>213</v>
      </c>
      <c r="AK16" s="307"/>
      <c r="AL16" s="459"/>
      <c r="AM16" s="459"/>
      <c r="AN16" s="459"/>
      <c r="AO16" s="459"/>
      <c r="AP16" s="79"/>
      <c r="AQ16" s="307"/>
      <c r="AR16" s="307"/>
      <c r="AS16" s="245"/>
      <c r="AT16" s="245"/>
      <c r="AU16" s="306"/>
      <c r="AV16" s="245"/>
      <c r="AW16" s="66">
        <v>6</v>
      </c>
      <c r="AX16" s="245"/>
      <c r="AY16" s="245"/>
      <c r="AZ16" s="245"/>
      <c r="BA16" s="271"/>
      <c r="BB16" s="3" t="s">
        <v>1015</v>
      </c>
      <c r="BC16" s="271"/>
      <c r="BD16" s="3">
        <v>1</v>
      </c>
      <c r="BE16" s="271"/>
      <c r="BF16" s="3">
        <v>1</v>
      </c>
      <c r="BG16" s="70">
        <v>13</v>
      </c>
      <c r="BH16" s="74" t="s">
        <v>1028</v>
      </c>
      <c r="BI16" s="73"/>
      <c r="BJ16" s="73"/>
      <c r="BK16" s="73"/>
      <c r="BL16" s="73"/>
      <c r="BM16" s="73"/>
      <c r="BN16" s="73"/>
      <c r="BO16" s="73"/>
      <c r="BP16" s="73"/>
      <c r="BQ16" s="73">
        <v>3</v>
      </c>
    </row>
    <row r="17" spans="1:69" ht="43.2" x14ac:dyDescent="0.3">
      <c r="A17" s="337"/>
      <c r="B17" s="363"/>
      <c r="C17" s="305"/>
      <c r="D17" s="406"/>
      <c r="E17" s="271"/>
      <c r="F17" s="377"/>
      <c r="G17" s="3" t="s">
        <v>88</v>
      </c>
      <c r="H17" s="3" t="s">
        <v>89</v>
      </c>
      <c r="I17" s="232"/>
      <c r="J17" s="3" t="s">
        <v>76</v>
      </c>
      <c r="K17" s="3" t="s">
        <v>90</v>
      </c>
      <c r="L17" s="268"/>
      <c r="M17" s="268"/>
      <c r="N17" s="270"/>
      <c r="O17" s="268"/>
      <c r="P17" s="268"/>
      <c r="Q17" s="270"/>
      <c r="R17" s="270"/>
      <c r="S17" s="270"/>
      <c r="T17" s="272"/>
      <c r="U17" s="3" t="s">
        <v>150</v>
      </c>
      <c r="V17" s="3" t="s">
        <v>150</v>
      </c>
      <c r="W17" s="3" t="s">
        <v>150</v>
      </c>
      <c r="X17" s="3" t="s">
        <v>150</v>
      </c>
      <c r="Y17" s="3" t="s">
        <v>150</v>
      </c>
      <c r="Z17" s="3" t="s">
        <v>150</v>
      </c>
      <c r="AA17" s="271"/>
      <c r="AB17" s="271"/>
      <c r="AC17" s="3" t="s">
        <v>264</v>
      </c>
      <c r="AD17" s="3" t="s">
        <v>265</v>
      </c>
      <c r="AE17" s="3" t="s">
        <v>266</v>
      </c>
      <c r="AF17" s="232"/>
      <c r="AG17" s="3" t="s">
        <v>214</v>
      </c>
      <c r="AH17" s="18" t="s">
        <v>215</v>
      </c>
      <c r="AK17" s="307"/>
      <c r="AL17" s="459"/>
      <c r="AM17" s="459"/>
      <c r="AN17" s="459"/>
      <c r="AO17" s="459"/>
      <c r="AP17" s="79"/>
      <c r="AQ17" s="307"/>
      <c r="AR17" s="2" t="s">
        <v>924</v>
      </c>
      <c r="AS17" s="66">
        <v>23</v>
      </c>
      <c r="AT17" s="66" t="s">
        <v>1064</v>
      </c>
      <c r="AU17" s="67" t="s">
        <v>1018</v>
      </c>
      <c r="AV17" s="66" t="s">
        <v>1066</v>
      </c>
      <c r="AW17" s="66">
        <v>3</v>
      </c>
      <c r="AX17" s="66" t="s">
        <v>1075</v>
      </c>
      <c r="AY17" s="66">
        <v>9</v>
      </c>
      <c r="AZ17" s="66">
        <v>1</v>
      </c>
      <c r="BA17" s="3">
        <v>1</v>
      </c>
      <c r="BB17" s="3" t="s">
        <v>1015</v>
      </c>
      <c r="BC17" s="3" t="s">
        <v>1047</v>
      </c>
      <c r="BD17" s="3">
        <v>1</v>
      </c>
      <c r="BE17" s="3" t="s">
        <v>1062</v>
      </c>
      <c r="BF17" s="3">
        <v>1</v>
      </c>
      <c r="BG17" s="70">
        <v>13</v>
      </c>
      <c r="BH17" s="74" t="s">
        <v>1028</v>
      </c>
      <c r="BI17" s="73"/>
      <c r="BJ17" s="73"/>
      <c r="BK17" s="73"/>
      <c r="BL17" s="73"/>
      <c r="BM17" s="73"/>
      <c r="BN17" s="73"/>
      <c r="BO17" s="73"/>
      <c r="BP17" s="73"/>
      <c r="BQ17" s="73">
        <v>3</v>
      </c>
    </row>
    <row r="18" spans="1:69" ht="43.2" x14ac:dyDescent="0.3">
      <c r="A18" s="337"/>
      <c r="B18" s="363"/>
      <c r="C18" s="305"/>
      <c r="D18" s="406"/>
      <c r="E18" s="271"/>
      <c r="F18" s="377"/>
      <c r="G18" s="3" t="s">
        <v>91</v>
      </c>
      <c r="H18" s="3" t="s">
        <v>92</v>
      </c>
      <c r="I18" s="232"/>
      <c r="J18" s="3" t="s">
        <v>76</v>
      </c>
      <c r="K18" s="3" t="s">
        <v>93</v>
      </c>
      <c r="L18" s="268"/>
      <c r="M18" s="268"/>
      <c r="N18" s="270"/>
      <c r="O18" s="268"/>
      <c r="P18" s="268"/>
      <c r="Q18" s="270"/>
      <c r="R18" s="270"/>
      <c r="S18" s="270"/>
      <c r="T18" s="272"/>
      <c r="U18" s="3" t="s">
        <v>150</v>
      </c>
      <c r="V18" s="3" t="s">
        <v>150</v>
      </c>
      <c r="W18" s="3" t="s">
        <v>150</v>
      </c>
      <c r="X18" s="3" t="s">
        <v>150</v>
      </c>
      <c r="Y18" s="3" t="s">
        <v>150</v>
      </c>
      <c r="Z18" s="3" t="s">
        <v>150</v>
      </c>
      <c r="AA18" s="271"/>
      <c r="AB18" s="271"/>
      <c r="AC18" s="3" t="s">
        <v>216</v>
      </c>
      <c r="AD18" s="3" t="s">
        <v>265</v>
      </c>
      <c r="AE18" s="3" t="s">
        <v>267</v>
      </c>
      <c r="AF18" s="232"/>
      <c r="AG18" s="3" t="s">
        <v>217</v>
      </c>
      <c r="AH18" s="18" t="s">
        <v>218</v>
      </c>
      <c r="AK18" s="307"/>
      <c r="AL18" s="459"/>
      <c r="AM18" s="459"/>
      <c r="AN18" s="459"/>
      <c r="AO18" s="459"/>
      <c r="AP18" s="79"/>
      <c r="AQ18" s="307" t="s">
        <v>1067</v>
      </c>
      <c r="AR18" s="307"/>
      <c r="AS18" s="66"/>
      <c r="AT18" s="66" t="s">
        <v>1069</v>
      </c>
      <c r="AU18" s="67" t="s">
        <v>1018</v>
      </c>
      <c r="AV18" s="66" t="s">
        <v>1083</v>
      </c>
      <c r="AW18" s="66">
        <v>2</v>
      </c>
      <c r="AX18" s="66" t="s">
        <v>1073</v>
      </c>
      <c r="AY18" s="66">
        <v>3</v>
      </c>
      <c r="AZ18" s="66">
        <v>1</v>
      </c>
      <c r="BA18" s="3">
        <v>1</v>
      </c>
      <c r="BB18" s="3" t="s">
        <v>1012</v>
      </c>
      <c r="BC18" s="3" t="s">
        <v>1047</v>
      </c>
      <c r="BD18" s="3">
        <v>2</v>
      </c>
      <c r="BE18" s="3" t="s">
        <v>1070</v>
      </c>
      <c r="BF18" s="3">
        <v>1</v>
      </c>
      <c r="BG18" s="70">
        <v>13</v>
      </c>
      <c r="BH18" s="74" t="s">
        <v>1028</v>
      </c>
      <c r="BI18" s="73"/>
      <c r="BJ18" s="73"/>
      <c r="BK18" s="73"/>
      <c r="BL18" s="73"/>
      <c r="BM18" s="73"/>
      <c r="BN18" s="73"/>
      <c r="BO18" s="71" t="s">
        <v>830</v>
      </c>
      <c r="BP18" s="71" t="s">
        <v>832</v>
      </c>
      <c r="BQ18" s="73">
        <v>0</v>
      </c>
    </row>
    <row r="19" spans="1:69" ht="43.2" customHeight="1" x14ac:dyDescent="0.3">
      <c r="A19" s="337"/>
      <c r="B19" s="363"/>
      <c r="C19" s="305"/>
      <c r="D19" s="406"/>
      <c r="E19" s="271"/>
      <c r="F19" s="377"/>
      <c r="G19" s="3" t="s">
        <v>94</v>
      </c>
      <c r="H19" s="3" t="s">
        <v>95</v>
      </c>
      <c r="I19" s="232"/>
      <c r="J19" s="3" t="s">
        <v>76</v>
      </c>
      <c r="K19" s="3" t="s">
        <v>90</v>
      </c>
      <c r="L19" s="268"/>
      <c r="M19" s="268"/>
      <c r="N19" s="270"/>
      <c r="O19" s="268"/>
      <c r="P19" s="268"/>
      <c r="Q19" s="270"/>
      <c r="R19" s="270"/>
      <c r="S19" s="270"/>
      <c r="T19" s="272"/>
      <c r="U19" s="3" t="s">
        <v>150</v>
      </c>
      <c r="V19" s="3" t="s">
        <v>150</v>
      </c>
      <c r="W19" s="3" t="s">
        <v>150</v>
      </c>
      <c r="X19" s="3" t="s">
        <v>150</v>
      </c>
      <c r="Y19" s="3" t="s">
        <v>150</v>
      </c>
      <c r="Z19" s="3" t="s">
        <v>150</v>
      </c>
      <c r="AA19" s="271"/>
      <c r="AB19" s="271"/>
      <c r="AC19" s="3" t="s">
        <v>219</v>
      </c>
      <c r="AD19" s="3" t="s">
        <v>220</v>
      </c>
      <c r="AE19" s="3" t="s">
        <v>268</v>
      </c>
      <c r="AF19" s="232"/>
      <c r="AG19" s="3" t="s">
        <v>221</v>
      </c>
      <c r="AH19" s="18" t="s">
        <v>269</v>
      </c>
      <c r="AK19" s="307"/>
      <c r="AL19" s="459"/>
      <c r="AM19" s="459"/>
      <c r="AN19" s="459"/>
      <c r="AO19" s="459"/>
      <c r="AP19" s="79"/>
      <c r="AQ19" s="307" t="s">
        <v>1079</v>
      </c>
      <c r="AR19" s="307" t="s">
        <v>923</v>
      </c>
      <c r="AS19" s="245">
        <v>19</v>
      </c>
      <c r="AT19" s="245" t="s">
        <v>1077</v>
      </c>
      <c r="AU19" s="306" t="s">
        <v>1018</v>
      </c>
      <c r="AV19" s="245" t="s">
        <v>1082</v>
      </c>
      <c r="AW19" s="66">
        <v>3</v>
      </c>
      <c r="AX19" s="245" t="s">
        <v>1076</v>
      </c>
      <c r="AY19" s="245">
        <v>3</v>
      </c>
      <c r="AZ19" s="245">
        <v>1</v>
      </c>
      <c r="BA19" s="271">
        <v>2</v>
      </c>
      <c r="BB19" s="3" t="s">
        <v>1012</v>
      </c>
      <c r="BC19" s="3" t="s">
        <v>1047</v>
      </c>
      <c r="BD19" s="3">
        <v>1</v>
      </c>
      <c r="BE19" s="3" t="s">
        <v>1061</v>
      </c>
      <c r="BF19" s="3">
        <v>1</v>
      </c>
      <c r="BG19" s="70">
        <v>13</v>
      </c>
      <c r="BH19" s="74" t="s">
        <v>1028</v>
      </c>
      <c r="BI19" s="73"/>
      <c r="BJ19" s="73"/>
      <c r="BK19" s="73"/>
      <c r="BL19" s="73"/>
      <c r="BM19" s="73"/>
      <c r="BN19" s="73"/>
      <c r="BO19" s="73"/>
      <c r="BP19" s="73"/>
      <c r="BQ19" s="73">
        <v>0</v>
      </c>
    </row>
    <row r="20" spans="1:69" ht="28.8" x14ac:dyDescent="0.3">
      <c r="A20" s="337"/>
      <c r="B20" s="363"/>
      <c r="C20" s="305"/>
      <c r="D20" s="406"/>
      <c r="E20" s="271"/>
      <c r="F20" s="377"/>
      <c r="G20" s="3" t="s">
        <v>96</v>
      </c>
      <c r="H20" s="3" t="s">
        <v>95</v>
      </c>
      <c r="I20" s="232"/>
      <c r="J20" s="3" t="s">
        <v>76</v>
      </c>
      <c r="K20" s="3" t="s">
        <v>93</v>
      </c>
      <c r="L20" s="268"/>
      <c r="M20" s="268"/>
      <c r="N20" s="270"/>
      <c r="O20" s="268"/>
      <c r="P20" s="268"/>
      <c r="Q20" s="270"/>
      <c r="R20" s="270"/>
      <c r="S20" s="270"/>
      <c r="T20" s="272"/>
      <c r="U20" s="3" t="s">
        <v>150</v>
      </c>
      <c r="V20" s="3" t="s">
        <v>150</v>
      </c>
      <c r="W20" s="3" t="s">
        <v>150</v>
      </c>
      <c r="X20" s="3" t="s">
        <v>150</v>
      </c>
      <c r="Y20" s="3" t="s">
        <v>150</v>
      </c>
      <c r="Z20" s="3" t="s">
        <v>150</v>
      </c>
      <c r="AA20" s="271"/>
      <c r="AB20" s="271"/>
      <c r="AC20" s="3" t="s">
        <v>219</v>
      </c>
      <c r="AD20" s="3" t="s">
        <v>220</v>
      </c>
      <c r="AE20" s="3" t="s">
        <v>268</v>
      </c>
      <c r="AF20" s="232"/>
      <c r="AG20" s="3" t="s">
        <v>270</v>
      </c>
      <c r="AH20" s="18" t="s">
        <v>271</v>
      </c>
      <c r="AK20" s="307"/>
      <c r="AL20" s="459"/>
      <c r="AM20" s="459"/>
      <c r="AN20" s="459"/>
      <c r="AO20" s="459"/>
      <c r="AP20" s="79"/>
      <c r="AQ20" s="307"/>
      <c r="AR20" s="307"/>
      <c r="AS20" s="245"/>
      <c r="AT20" s="245"/>
      <c r="AU20" s="306"/>
      <c r="AV20" s="245"/>
      <c r="AW20" s="66">
        <v>6</v>
      </c>
      <c r="AX20" s="245"/>
      <c r="AY20" s="245"/>
      <c r="AZ20" s="245"/>
      <c r="BA20" s="271"/>
      <c r="BB20" s="3" t="s">
        <v>1015</v>
      </c>
      <c r="BC20" s="3" t="s">
        <v>1047</v>
      </c>
      <c r="BD20" s="3">
        <v>1</v>
      </c>
      <c r="BE20" s="3" t="s">
        <v>1062</v>
      </c>
      <c r="BF20" s="3">
        <v>1</v>
      </c>
      <c r="BG20" s="70">
        <v>13</v>
      </c>
      <c r="BH20" s="74" t="s">
        <v>1028</v>
      </c>
      <c r="BI20" s="244" t="s">
        <v>1081</v>
      </c>
      <c r="BJ20" s="244"/>
      <c r="BK20" s="244"/>
      <c r="BL20" s="244"/>
      <c r="BM20" s="244"/>
      <c r="BN20" s="244"/>
      <c r="BO20" s="244"/>
      <c r="BP20" s="244"/>
      <c r="BQ20" s="73">
        <v>3</v>
      </c>
    </row>
    <row r="21" spans="1:69" ht="28.8" x14ac:dyDescent="0.3">
      <c r="A21" s="337"/>
      <c r="B21" s="363"/>
      <c r="C21" s="305"/>
      <c r="D21" s="406"/>
      <c r="E21" s="271"/>
      <c r="F21" s="377"/>
      <c r="G21" s="3" t="s">
        <v>97</v>
      </c>
      <c r="H21" s="3" t="s">
        <v>98</v>
      </c>
      <c r="I21" s="232"/>
      <c r="J21" s="3" t="s">
        <v>76</v>
      </c>
      <c r="K21" s="3" t="s">
        <v>90</v>
      </c>
      <c r="L21" s="268"/>
      <c r="M21" s="268"/>
      <c r="N21" s="270"/>
      <c r="O21" s="268"/>
      <c r="P21" s="268"/>
      <c r="Q21" s="270"/>
      <c r="R21" s="270"/>
      <c r="S21" s="270"/>
      <c r="T21" s="272"/>
      <c r="U21" s="3" t="s">
        <v>150</v>
      </c>
      <c r="V21" s="3" t="s">
        <v>150</v>
      </c>
      <c r="W21" s="3" t="s">
        <v>150</v>
      </c>
      <c r="X21" s="3" t="s">
        <v>150</v>
      </c>
      <c r="Y21" s="3" t="s">
        <v>150</v>
      </c>
      <c r="Z21" s="3" t="s">
        <v>150</v>
      </c>
      <c r="AA21" s="271"/>
      <c r="AB21" s="271"/>
      <c r="AC21" s="3" t="s">
        <v>223</v>
      </c>
      <c r="AD21" s="3" t="s">
        <v>272</v>
      </c>
      <c r="AE21" s="3" t="s">
        <v>273</v>
      </c>
      <c r="AF21" s="232"/>
      <c r="AG21" s="3" t="s">
        <v>224</v>
      </c>
      <c r="AH21" s="18" t="s">
        <v>274</v>
      </c>
      <c r="AK21" s="307"/>
      <c r="AL21" s="459"/>
      <c r="AM21" s="459"/>
      <c r="AN21" s="459"/>
      <c r="AO21" s="459"/>
      <c r="AP21" s="79"/>
      <c r="AQ21" s="307"/>
      <c r="AR21" s="2" t="s">
        <v>1080</v>
      </c>
      <c r="AS21" s="66">
        <v>1</v>
      </c>
      <c r="AT21" s="66" t="s">
        <v>1077</v>
      </c>
      <c r="AU21" s="306" t="s">
        <v>1018</v>
      </c>
      <c r="AV21" s="68">
        <v>46023</v>
      </c>
      <c r="AW21" s="66">
        <v>3</v>
      </c>
      <c r="AX21" s="66" t="s">
        <v>1076</v>
      </c>
      <c r="AY21" s="66">
        <v>3</v>
      </c>
      <c r="AZ21" s="66">
        <v>1</v>
      </c>
      <c r="BA21" s="3">
        <v>1</v>
      </c>
      <c r="BB21" s="3" t="s">
        <v>1012</v>
      </c>
      <c r="BC21" s="3" t="s">
        <v>1047</v>
      </c>
      <c r="BD21" s="3">
        <v>1</v>
      </c>
      <c r="BE21" s="3" t="s">
        <v>1070</v>
      </c>
      <c r="BF21" s="3">
        <v>1</v>
      </c>
      <c r="BG21" s="70">
        <v>13</v>
      </c>
      <c r="BH21" s="74" t="s">
        <v>1028</v>
      </c>
      <c r="BI21" s="73"/>
      <c r="BJ21" s="73"/>
      <c r="BK21" s="73"/>
      <c r="BL21" s="73"/>
      <c r="BM21" s="73"/>
      <c r="BN21" s="73"/>
      <c r="BO21" s="73" t="s">
        <v>889</v>
      </c>
      <c r="BP21" s="71" t="s">
        <v>888</v>
      </c>
      <c r="BQ21" s="73">
        <v>0</v>
      </c>
    </row>
    <row r="22" spans="1:69" ht="28.8" x14ac:dyDescent="0.3">
      <c r="A22" s="337"/>
      <c r="B22" s="363"/>
      <c r="C22" s="305"/>
      <c r="D22" s="406"/>
      <c r="E22" s="271"/>
      <c r="F22" s="377"/>
      <c r="G22" s="3" t="s">
        <v>99</v>
      </c>
      <c r="H22" s="3" t="s">
        <v>100</v>
      </c>
      <c r="I22" s="232"/>
      <c r="J22" s="3" t="s">
        <v>76</v>
      </c>
      <c r="K22" s="3">
        <v>5</v>
      </c>
      <c r="L22" s="268"/>
      <c r="M22" s="268"/>
      <c r="N22" s="270"/>
      <c r="O22" s="268"/>
      <c r="P22" s="268"/>
      <c r="Q22" s="270"/>
      <c r="R22" s="270"/>
      <c r="S22" s="270"/>
      <c r="T22" s="272"/>
      <c r="U22" s="3" t="s">
        <v>150</v>
      </c>
      <c r="V22" s="3" t="s">
        <v>150</v>
      </c>
      <c r="W22" s="3" t="s">
        <v>150</v>
      </c>
      <c r="X22" s="3" t="s">
        <v>150</v>
      </c>
      <c r="Y22" s="3" t="s">
        <v>150</v>
      </c>
      <c r="Z22" s="3" t="s">
        <v>150</v>
      </c>
      <c r="AA22" s="271"/>
      <c r="AB22" s="271"/>
      <c r="AC22" s="3" t="s">
        <v>225</v>
      </c>
      <c r="AD22" s="3" t="s">
        <v>275</v>
      </c>
      <c r="AE22" s="3" t="s">
        <v>276</v>
      </c>
      <c r="AF22" s="232"/>
      <c r="AG22" s="3" t="s">
        <v>196</v>
      </c>
      <c r="AH22" s="18" t="s">
        <v>277</v>
      </c>
      <c r="AK22" s="307"/>
      <c r="AL22" s="460"/>
      <c r="AM22" s="460"/>
      <c r="AN22" s="460"/>
      <c r="AO22" s="460"/>
      <c r="AP22" s="80"/>
      <c r="AQ22" s="307"/>
      <c r="AR22" s="2" t="s">
        <v>924</v>
      </c>
      <c r="AS22" s="66">
        <v>45</v>
      </c>
      <c r="AT22" s="66" t="s">
        <v>1077</v>
      </c>
      <c r="AU22" s="306"/>
      <c r="AV22" s="66" t="s">
        <v>1084</v>
      </c>
      <c r="AW22" s="66">
        <v>6</v>
      </c>
      <c r="AX22" s="66" t="s">
        <v>1076</v>
      </c>
      <c r="AY22" s="66">
        <v>9</v>
      </c>
      <c r="AZ22" s="66">
        <v>1</v>
      </c>
      <c r="BA22" s="3">
        <v>1</v>
      </c>
      <c r="BB22" s="3" t="s">
        <v>1015</v>
      </c>
      <c r="BC22" s="3" t="s">
        <v>1047</v>
      </c>
      <c r="BD22" s="3">
        <v>1</v>
      </c>
      <c r="BE22" s="3" t="s">
        <v>1062</v>
      </c>
      <c r="BF22" s="3">
        <v>1</v>
      </c>
      <c r="BG22" s="70">
        <v>13</v>
      </c>
      <c r="BH22" s="74" t="s">
        <v>1028</v>
      </c>
      <c r="BI22" s="73"/>
      <c r="BJ22" s="73"/>
      <c r="BK22" s="73"/>
      <c r="BL22" s="73"/>
      <c r="BM22" s="73"/>
      <c r="BN22" s="73"/>
      <c r="BO22" s="73"/>
      <c r="BP22" s="73"/>
      <c r="BQ22" s="73">
        <v>3</v>
      </c>
    </row>
    <row r="23" spans="1:69" x14ac:dyDescent="0.3">
      <c r="A23" s="337"/>
      <c r="B23" s="363"/>
      <c r="C23" s="305"/>
      <c r="D23" s="406"/>
      <c r="E23" s="271"/>
      <c r="F23" s="377"/>
      <c r="G23" s="3" t="s">
        <v>101</v>
      </c>
      <c r="H23" s="3" t="s">
        <v>102</v>
      </c>
      <c r="I23" s="232"/>
      <c r="J23" s="3" t="s">
        <v>76</v>
      </c>
      <c r="K23" s="3" t="s">
        <v>93</v>
      </c>
      <c r="L23" s="269"/>
      <c r="M23" s="268"/>
      <c r="N23" s="270"/>
      <c r="O23" s="268"/>
      <c r="P23" s="269"/>
      <c r="Q23" s="270"/>
      <c r="R23" s="270"/>
      <c r="S23" s="270"/>
      <c r="T23" s="272"/>
      <c r="U23" s="3" t="s">
        <v>150</v>
      </c>
      <c r="V23" s="3" t="s">
        <v>150</v>
      </c>
      <c r="W23" s="3" t="s">
        <v>150</v>
      </c>
      <c r="X23" s="3" t="s">
        <v>150</v>
      </c>
      <c r="Y23" s="3" t="s">
        <v>150</v>
      </c>
      <c r="Z23" s="3" t="s">
        <v>150</v>
      </c>
      <c r="AA23" s="271"/>
      <c r="AB23" s="271"/>
      <c r="AC23" s="3" t="s">
        <v>227</v>
      </c>
      <c r="AD23" s="3" t="s">
        <v>228</v>
      </c>
      <c r="AE23" s="3" t="s">
        <v>278</v>
      </c>
      <c r="AF23" s="232"/>
      <c r="AG23" s="3" t="s">
        <v>229</v>
      </c>
      <c r="AH23" s="18" t="s">
        <v>230</v>
      </c>
    </row>
    <row r="24" spans="1:69" x14ac:dyDescent="0.3">
      <c r="A24" s="337"/>
      <c r="B24" s="363"/>
      <c r="C24" s="305"/>
      <c r="D24" s="406"/>
      <c r="E24" s="271"/>
      <c r="F24" s="377"/>
      <c r="G24" s="3" t="s">
        <v>103</v>
      </c>
      <c r="H24" s="3" t="s">
        <v>104</v>
      </c>
      <c r="I24" s="232"/>
      <c r="J24" s="3" t="s">
        <v>76</v>
      </c>
      <c r="K24" s="3" t="s">
        <v>93</v>
      </c>
      <c r="L24" s="304" t="s">
        <v>1032</v>
      </c>
      <c r="M24" s="268"/>
      <c r="N24" s="270"/>
      <c r="O24" s="268"/>
      <c r="P24" s="304" t="s">
        <v>999</v>
      </c>
      <c r="Q24" s="270"/>
      <c r="R24" s="270"/>
      <c r="S24" s="270"/>
      <c r="T24" s="272"/>
      <c r="U24" s="3" t="s">
        <v>150</v>
      </c>
      <c r="V24" s="3" t="s">
        <v>150</v>
      </c>
      <c r="W24" s="3" t="s">
        <v>150</v>
      </c>
      <c r="X24" s="3" t="s">
        <v>150</v>
      </c>
      <c r="Y24" s="3" t="s">
        <v>150</v>
      </c>
      <c r="Z24" s="3" t="s">
        <v>150</v>
      </c>
      <c r="AA24" s="271"/>
      <c r="AB24" s="271"/>
      <c r="AC24" s="3" t="s">
        <v>231</v>
      </c>
      <c r="AD24" s="3" t="s">
        <v>237</v>
      </c>
      <c r="AE24" s="3" t="s">
        <v>237</v>
      </c>
      <c r="AF24" s="232"/>
      <c r="AG24" s="3" t="s">
        <v>291</v>
      </c>
      <c r="AH24" s="18" t="s">
        <v>292</v>
      </c>
    </row>
    <row r="25" spans="1:69" x14ac:dyDescent="0.3">
      <c r="A25" s="337"/>
      <c r="B25" s="363"/>
      <c r="C25" s="305"/>
      <c r="D25" s="406"/>
      <c r="E25" s="271"/>
      <c r="F25" s="377"/>
      <c r="G25" s="3" t="s">
        <v>105</v>
      </c>
      <c r="H25" s="3" t="s">
        <v>106</v>
      </c>
      <c r="I25" s="232"/>
      <c r="J25" s="3" t="s">
        <v>76</v>
      </c>
      <c r="K25" s="3" t="s">
        <v>93</v>
      </c>
      <c r="L25" s="268"/>
      <c r="M25" s="268"/>
      <c r="N25" s="270"/>
      <c r="O25" s="268"/>
      <c r="P25" s="268"/>
      <c r="Q25" s="270"/>
      <c r="R25" s="270"/>
      <c r="S25" s="270"/>
      <c r="T25" s="272"/>
      <c r="U25" s="3" t="s">
        <v>150</v>
      </c>
      <c r="V25" s="3" t="s">
        <v>150</v>
      </c>
      <c r="W25" s="3" t="s">
        <v>150</v>
      </c>
      <c r="X25" s="3" t="s">
        <v>150</v>
      </c>
      <c r="Y25" s="3" t="s">
        <v>150</v>
      </c>
      <c r="Z25" s="3" t="s">
        <v>150</v>
      </c>
      <c r="AA25" s="271"/>
      <c r="AB25" s="271"/>
      <c r="AC25" s="3" t="s">
        <v>232</v>
      </c>
      <c r="AD25" s="3" t="s">
        <v>233</v>
      </c>
      <c r="AE25" s="3" t="s">
        <v>234</v>
      </c>
      <c r="AF25" s="232"/>
      <c r="AG25" s="3" t="s">
        <v>235</v>
      </c>
      <c r="AH25" s="18" t="s">
        <v>236</v>
      </c>
    </row>
    <row r="26" spans="1:69" x14ac:dyDescent="0.3">
      <c r="A26" s="337"/>
      <c r="B26" s="363"/>
      <c r="C26" s="305"/>
      <c r="D26" s="406"/>
      <c r="E26" s="271"/>
      <c r="F26" s="377"/>
      <c r="G26" s="3" t="s">
        <v>107</v>
      </c>
      <c r="H26" s="3" t="s">
        <v>108</v>
      </c>
      <c r="I26" s="232"/>
      <c r="J26" s="3" t="s">
        <v>76</v>
      </c>
      <c r="K26" s="3" t="s">
        <v>93</v>
      </c>
      <c r="L26" s="268"/>
      <c r="M26" s="268"/>
      <c r="N26" s="270"/>
      <c r="O26" s="268"/>
      <c r="P26" s="268"/>
      <c r="Q26" s="270"/>
      <c r="R26" s="270"/>
      <c r="S26" s="270"/>
      <c r="T26" s="272"/>
      <c r="U26" s="3" t="s">
        <v>150</v>
      </c>
      <c r="V26" s="3" t="s">
        <v>150</v>
      </c>
      <c r="W26" s="3" t="s">
        <v>150</v>
      </c>
      <c r="X26" s="3" t="s">
        <v>150</v>
      </c>
      <c r="Y26" s="3" t="s">
        <v>150</v>
      </c>
      <c r="Z26" s="3" t="s">
        <v>150</v>
      </c>
      <c r="AA26" s="271"/>
      <c r="AB26" s="271"/>
      <c r="AC26" s="3" t="s">
        <v>279</v>
      </c>
      <c r="AD26" s="3" t="s">
        <v>237</v>
      </c>
      <c r="AE26" s="3" t="s">
        <v>237</v>
      </c>
      <c r="AF26" s="232"/>
      <c r="AG26" s="3" t="s">
        <v>238</v>
      </c>
      <c r="AH26" s="18" t="s">
        <v>239</v>
      </c>
    </row>
    <row r="27" spans="1:69" x14ac:dyDescent="0.3">
      <c r="A27" s="337"/>
      <c r="B27" s="363"/>
      <c r="C27" s="305"/>
      <c r="D27" s="406"/>
      <c r="E27" s="271"/>
      <c r="F27" s="377"/>
      <c r="G27" s="3" t="s">
        <v>109</v>
      </c>
      <c r="H27" s="3" t="s">
        <v>110</v>
      </c>
      <c r="I27" s="232"/>
      <c r="J27" s="3" t="s">
        <v>76</v>
      </c>
      <c r="K27" s="3" t="s">
        <v>93</v>
      </c>
      <c r="L27" s="268"/>
      <c r="M27" s="268"/>
      <c r="N27" s="270"/>
      <c r="O27" s="268"/>
      <c r="P27" s="268"/>
      <c r="Q27" s="270"/>
      <c r="R27" s="270"/>
      <c r="S27" s="270"/>
      <c r="T27" s="272"/>
      <c r="U27" s="3" t="s">
        <v>150</v>
      </c>
      <c r="V27" s="3" t="s">
        <v>150</v>
      </c>
      <c r="W27" s="3" t="s">
        <v>150</v>
      </c>
      <c r="X27" s="3" t="s">
        <v>150</v>
      </c>
      <c r="Y27" s="3" t="s">
        <v>150</v>
      </c>
      <c r="Z27" s="3" t="s">
        <v>150</v>
      </c>
      <c r="AA27" s="271"/>
      <c r="AB27" s="271"/>
      <c r="AC27" s="3" t="s">
        <v>280</v>
      </c>
      <c r="AD27" s="3" t="s">
        <v>237</v>
      </c>
      <c r="AE27" s="3" t="s">
        <v>237</v>
      </c>
      <c r="AF27" s="232"/>
      <c r="AG27" s="3" t="s">
        <v>240</v>
      </c>
      <c r="AH27" s="18" t="s">
        <v>281</v>
      </c>
    </row>
    <row r="28" spans="1:69" x14ac:dyDescent="0.3">
      <c r="A28" s="337"/>
      <c r="B28" s="363"/>
      <c r="C28" s="305"/>
      <c r="D28" s="406"/>
      <c r="E28" s="271"/>
      <c r="F28" s="377"/>
      <c r="G28" s="3" t="s">
        <v>111</v>
      </c>
      <c r="H28" s="3" t="s">
        <v>112</v>
      </c>
      <c r="I28" s="232"/>
      <c r="J28" s="3" t="s">
        <v>76</v>
      </c>
      <c r="K28" s="3">
        <v>5</v>
      </c>
      <c r="L28" s="268"/>
      <c r="M28" s="268"/>
      <c r="N28" s="270"/>
      <c r="O28" s="268"/>
      <c r="P28" s="268"/>
      <c r="Q28" s="270"/>
      <c r="R28" s="270"/>
      <c r="S28" s="270"/>
      <c r="T28" s="272"/>
      <c r="U28" s="3" t="s">
        <v>150</v>
      </c>
      <c r="V28" s="3" t="s">
        <v>150</v>
      </c>
      <c r="W28" s="3" t="s">
        <v>150</v>
      </c>
      <c r="X28" s="3" t="s">
        <v>150</v>
      </c>
      <c r="Y28" s="3" t="s">
        <v>150</v>
      </c>
      <c r="Z28" s="3" t="s">
        <v>150</v>
      </c>
      <c r="AA28" s="271"/>
      <c r="AB28" s="271"/>
      <c r="AC28" s="3" t="s">
        <v>282</v>
      </c>
      <c r="AD28" s="3" t="s">
        <v>237</v>
      </c>
      <c r="AE28" s="3" t="s">
        <v>237</v>
      </c>
      <c r="AF28" s="232"/>
      <c r="AG28" s="3" t="s">
        <v>283</v>
      </c>
      <c r="AH28" s="18" t="s">
        <v>283</v>
      </c>
    </row>
    <row r="29" spans="1:69" x14ac:dyDescent="0.3">
      <c r="A29" s="337"/>
      <c r="B29" s="363"/>
      <c r="C29" s="305"/>
      <c r="D29" s="406"/>
      <c r="E29" s="271"/>
      <c r="F29" s="377"/>
      <c r="G29" s="3" t="s">
        <v>113</v>
      </c>
      <c r="H29" s="3" t="s">
        <v>114</v>
      </c>
      <c r="I29" s="232"/>
      <c r="J29" s="3" t="s">
        <v>76</v>
      </c>
      <c r="K29" s="3">
        <v>5</v>
      </c>
      <c r="L29" s="268"/>
      <c r="M29" s="268"/>
      <c r="N29" s="270"/>
      <c r="O29" s="268"/>
      <c r="P29" s="268"/>
      <c r="Q29" s="270"/>
      <c r="R29" s="270"/>
      <c r="S29" s="270"/>
      <c r="T29" s="272"/>
      <c r="U29" s="3" t="s">
        <v>150</v>
      </c>
      <c r="V29" s="3" t="s">
        <v>150</v>
      </c>
      <c r="W29" s="3" t="s">
        <v>150</v>
      </c>
      <c r="X29" s="3" t="s">
        <v>150</v>
      </c>
      <c r="Y29" s="3" t="s">
        <v>150</v>
      </c>
      <c r="Z29" s="3" t="s">
        <v>150</v>
      </c>
      <c r="AA29" s="271"/>
      <c r="AB29" s="271"/>
      <c r="AC29" s="3" t="s">
        <v>284</v>
      </c>
      <c r="AD29" s="3" t="s">
        <v>237</v>
      </c>
      <c r="AE29" s="3" t="s">
        <v>237</v>
      </c>
      <c r="AF29" s="232"/>
      <c r="AG29" s="3" t="s">
        <v>285</v>
      </c>
      <c r="AH29" s="18" t="s">
        <v>286</v>
      </c>
    </row>
    <row r="30" spans="1:69" x14ac:dyDescent="0.3">
      <c r="A30" s="337"/>
      <c r="B30" s="363"/>
      <c r="C30" s="305"/>
      <c r="D30" s="406"/>
      <c r="E30" s="271"/>
      <c r="F30" s="377"/>
      <c r="G30" s="3" t="s">
        <v>115</v>
      </c>
      <c r="H30" s="3" t="s">
        <v>116</v>
      </c>
      <c r="I30" s="232"/>
      <c r="J30" s="3" t="s">
        <v>76</v>
      </c>
      <c r="K30" s="3">
        <v>5</v>
      </c>
      <c r="L30" s="268"/>
      <c r="M30" s="268"/>
      <c r="N30" s="270"/>
      <c r="O30" s="268"/>
      <c r="P30" s="268"/>
      <c r="Q30" s="270"/>
      <c r="R30" s="270"/>
      <c r="S30" s="270"/>
      <c r="T30" s="272"/>
      <c r="U30" s="3" t="s">
        <v>150</v>
      </c>
      <c r="V30" s="3" t="s">
        <v>150</v>
      </c>
      <c r="W30" s="3" t="s">
        <v>150</v>
      </c>
      <c r="X30" s="3" t="s">
        <v>150</v>
      </c>
      <c r="Y30" s="3" t="s">
        <v>150</v>
      </c>
      <c r="Z30" s="3" t="s">
        <v>150</v>
      </c>
      <c r="AA30" s="271"/>
      <c r="AB30" s="271"/>
      <c r="AC30" s="3" t="s">
        <v>241</v>
      </c>
      <c r="AD30" s="3" t="s">
        <v>242</v>
      </c>
      <c r="AE30" s="3" t="s">
        <v>243</v>
      </c>
      <c r="AF30" s="232"/>
      <c r="AG30" s="3" t="s">
        <v>287</v>
      </c>
      <c r="AH30" s="18" t="s">
        <v>244</v>
      </c>
    </row>
    <row r="31" spans="1:69" s="61" customFormat="1" x14ac:dyDescent="0.3">
      <c r="A31" s="337"/>
      <c r="B31" s="363"/>
      <c r="C31" s="305"/>
      <c r="D31" s="406"/>
      <c r="E31" s="271"/>
      <c r="F31" s="377"/>
      <c r="G31" s="3" t="s">
        <v>117</v>
      </c>
      <c r="H31" s="3" t="s">
        <v>118</v>
      </c>
      <c r="I31" s="232"/>
      <c r="J31" s="3" t="s">
        <v>76</v>
      </c>
      <c r="K31" s="3" t="s">
        <v>93</v>
      </c>
      <c r="L31" s="268"/>
      <c r="M31" s="268"/>
      <c r="N31" s="270"/>
      <c r="O31" s="268"/>
      <c r="P31" s="268"/>
      <c r="Q31" s="270"/>
      <c r="R31" s="270"/>
      <c r="S31" s="270"/>
      <c r="T31" s="272"/>
      <c r="U31" s="3" t="s">
        <v>150</v>
      </c>
      <c r="V31" s="3" t="s">
        <v>135</v>
      </c>
      <c r="W31" s="3" t="s">
        <v>150</v>
      </c>
      <c r="X31" s="3" t="s">
        <v>136</v>
      </c>
      <c r="Y31" s="3" t="s">
        <v>150</v>
      </c>
      <c r="Z31" s="3" t="s">
        <v>137</v>
      </c>
      <c r="AA31" s="271"/>
      <c r="AB31" s="271"/>
      <c r="AC31" s="3" t="s">
        <v>245</v>
      </c>
      <c r="AD31" s="3" t="s">
        <v>246</v>
      </c>
      <c r="AE31" s="3" t="s">
        <v>247</v>
      </c>
      <c r="AF31" s="232"/>
      <c r="AG31" s="3" t="s">
        <v>248</v>
      </c>
      <c r="AH31" s="18" t="s">
        <v>288</v>
      </c>
    </row>
    <row r="32" spans="1:69" x14ac:dyDescent="0.3">
      <c r="A32" s="337"/>
      <c r="B32" s="363"/>
      <c r="C32" s="305"/>
      <c r="D32" s="406"/>
      <c r="E32" s="271"/>
      <c r="F32" s="377"/>
      <c r="G32" s="3" t="s">
        <v>119</v>
      </c>
      <c r="H32" s="3" t="s">
        <v>120</v>
      </c>
      <c r="I32" s="232"/>
      <c r="J32" s="3" t="s">
        <v>76</v>
      </c>
      <c r="K32" s="3">
        <v>10</v>
      </c>
      <c r="L32" s="268"/>
      <c r="M32" s="268"/>
      <c r="N32" s="270"/>
      <c r="O32" s="268"/>
      <c r="P32" s="268"/>
      <c r="Q32" s="270"/>
      <c r="R32" s="270"/>
      <c r="S32" s="270"/>
      <c r="T32" s="272"/>
      <c r="U32" s="3" t="s">
        <v>150</v>
      </c>
      <c r="V32" s="3" t="s">
        <v>150</v>
      </c>
      <c r="W32" s="3" t="s">
        <v>150</v>
      </c>
      <c r="X32" s="3" t="s">
        <v>150</v>
      </c>
      <c r="Y32" s="3" t="s">
        <v>150</v>
      </c>
      <c r="Z32" s="3" t="s">
        <v>150</v>
      </c>
      <c r="AA32" s="271"/>
      <c r="AB32" s="271"/>
      <c r="AC32" s="3" t="s">
        <v>249</v>
      </c>
      <c r="AD32" s="3" t="s">
        <v>250</v>
      </c>
      <c r="AE32" s="3" t="s">
        <v>251</v>
      </c>
      <c r="AF32" s="232"/>
      <c r="AG32" s="3" t="s">
        <v>252</v>
      </c>
      <c r="AH32" s="18" t="s">
        <v>253</v>
      </c>
    </row>
    <row r="33" spans="1:34" s="61" customFormat="1" x14ac:dyDescent="0.3">
      <c r="A33" s="337"/>
      <c r="B33" s="363"/>
      <c r="C33" s="305"/>
      <c r="D33" s="406"/>
      <c r="E33" s="271"/>
      <c r="F33" s="377"/>
      <c r="G33" s="3" t="s">
        <v>121</v>
      </c>
      <c r="H33" s="3" t="s">
        <v>122</v>
      </c>
      <c r="I33" s="232"/>
      <c r="J33" s="3" t="s">
        <v>76</v>
      </c>
      <c r="K33" s="3"/>
      <c r="L33" s="268"/>
      <c r="M33" s="268"/>
      <c r="N33" s="270"/>
      <c r="O33" s="268"/>
      <c r="P33" s="268"/>
      <c r="Q33" s="270"/>
      <c r="R33" s="270"/>
      <c r="S33" s="270"/>
      <c r="T33" s="272"/>
      <c r="U33" s="3" t="s">
        <v>138</v>
      </c>
      <c r="V33" s="3" t="s">
        <v>139</v>
      </c>
      <c r="W33" s="3" t="s">
        <v>140</v>
      </c>
      <c r="X33" s="3" t="s">
        <v>141</v>
      </c>
      <c r="Y33" s="3" t="s">
        <v>142</v>
      </c>
      <c r="Z33" s="3" t="s">
        <v>143</v>
      </c>
      <c r="AA33" s="271"/>
      <c r="AB33" s="271"/>
      <c r="AC33" s="3" t="s">
        <v>254</v>
      </c>
      <c r="AD33" s="3" t="s">
        <v>289</v>
      </c>
      <c r="AE33" s="3" t="s">
        <v>289</v>
      </c>
      <c r="AF33" s="232"/>
      <c r="AG33" s="3" t="s">
        <v>290</v>
      </c>
      <c r="AH33" s="18" t="s">
        <v>290</v>
      </c>
    </row>
    <row r="34" spans="1:34" x14ac:dyDescent="0.3">
      <c r="A34" s="337"/>
      <c r="B34" s="363"/>
      <c r="C34" s="305"/>
      <c r="D34" s="406"/>
      <c r="E34" s="271"/>
      <c r="F34" s="377"/>
      <c r="G34" s="3" t="s">
        <v>123</v>
      </c>
      <c r="H34" s="3" t="s">
        <v>124</v>
      </c>
      <c r="I34" s="232"/>
      <c r="J34" s="3" t="s">
        <v>76</v>
      </c>
      <c r="K34" s="3">
        <v>50</v>
      </c>
      <c r="L34" s="268"/>
      <c r="M34" s="268"/>
      <c r="N34" s="270"/>
      <c r="O34" s="268"/>
      <c r="P34" s="268"/>
      <c r="Q34" s="270"/>
      <c r="R34" s="270"/>
      <c r="S34" s="270"/>
      <c r="T34" s="272"/>
      <c r="U34" s="3"/>
      <c r="V34" s="3" t="s">
        <v>150</v>
      </c>
      <c r="W34" s="3" t="s">
        <v>150</v>
      </c>
      <c r="X34" s="3" t="s">
        <v>150</v>
      </c>
      <c r="Y34" s="3" t="s">
        <v>150</v>
      </c>
      <c r="Z34" s="3" t="s">
        <v>150</v>
      </c>
      <c r="AA34" s="271"/>
      <c r="AB34" s="271"/>
      <c r="AC34" s="3"/>
      <c r="AD34" s="3"/>
      <c r="AE34" s="3"/>
      <c r="AF34" s="232"/>
      <c r="AG34" s="3"/>
      <c r="AH34" s="18"/>
    </row>
    <row r="35" spans="1:34" s="61" customFormat="1" x14ac:dyDescent="0.3">
      <c r="A35" s="337"/>
      <c r="B35" s="363"/>
      <c r="C35" s="305"/>
      <c r="D35" s="406"/>
      <c r="E35" s="271"/>
      <c r="F35" s="377"/>
      <c r="G35" s="3" t="s">
        <v>125</v>
      </c>
      <c r="H35" s="3">
        <v>185</v>
      </c>
      <c r="I35" s="232"/>
      <c r="J35" s="3" t="s">
        <v>126</v>
      </c>
      <c r="K35" s="3"/>
      <c r="L35" s="268"/>
      <c r="M35" s="268"/>
      <c r="N35" s="270"/>
      <c r="O35" s="268"/>
      <c r="P35" s="268"/>
      <c r="Q35" s="270"/>
      <c r="R35" s="270"/>
      <c r="S35" s="270"/>
      <c r="T35" s="272"/>
      <c r="U35" s="3" t="s">
        <v>150</v>
      </c>
      <c r="V35" s="3" t="s">
        <v>144</v>
      </c>
      <c r="W35" s="3" t="s">
        <v>150</v>
      </c>
      <c r="X35" s="3" t="s">
        <v>145</v>
      </c>
      <c r="Y35" s="3" t="s">
        <v>150</v>
      </c>
      <c r="Z35" s="3" t="s">
        <v>146</v>
      </c>
      <c r="AA35" s="271"/>
      <c r="AB35" s="271"/>
      <c r="AC35" s="3" t="s">
        <v>255</v>
      </c>
      <c r="AD35" s="3"/>
      <c r="AE35" s="3"/>
      <c r="AF35" s="232"/>
      <c r="AG35" s="3"/>
      <c r="AH35" s="18"/>
    </row>
    <row r="36" spans="1:34" x14ac:dyDescent="0.3">
      <c r="A36" s="337"/>
      <c r="B36" s="363"/>
      <c r="C36" s="305"/>
      <c r="D36" s="406"/>
      <c r="E36" s="271"/>
      <c r="F36" s="377"/>
      <c r="G36" s="3" t="s">
        <v>127</v>
      </c>
      <c r="H36" s="3">
        <v>2649</v>
      </c>
      <c r="I36" s="232"/>
      <c r="J36" s="3" t="s">
        <v>76</v>
      </c>
      <c r="K36" s="3"/>
      <c r="L36" s="268"/>
      <c r="M36" s="268"/>
      <c r="N36" s="270"/>
      <c r="O36" s="268"/>
      <c r="P36" s="268"/>
      <c r="Q36" s="270"/>
      <c r="R36" s="270"/>
      <c r="S36" s="270"/>
      <c r="T36" s="272"/>
      <c r="U36" s="3" t="s">
        <v>150</v>
      </c>
      <c r="V36" s="3" t="s">
        <v>150</v>
      </c>
      <c r="W36" s="3" t="s">
        <v>150</v>
      </c>
      <c r="X36" s="3" t="s">
        <v>150</v>
      </c>
      <c r="Y36" s="3" t="s">
        <v>150</v>
      </c>
      <c r="Z36" s="3" t="s">
        <v>150</v>
      </c>
      <c r="AA36" s="271"/>
      <c r="AB36" s="271"/>
      <c r="AC36" s="3"/>
      <c r="AD36" s="3"/>
      <c r="AE36" s="3"/>
      <c r="AF36" s="232"/>
      <c r="AG36" s="3"/>
      <c r="AH36" s="18"/>
    </row>
    <row r="37" spans="1:34" x14ac:dyDescent="0.3">
      <c r="A37" s="337"/>
      <c r="B37" s="363"/>
      <c r="C37" s="305"/>
      <c r="D37" s="406"/>
      <c r="E37" s="271"/>
      <c r="F37" s="377"/>
      <c r="G37" s="3" t="s">
        <v>128</v>
      </c>
      <c r="H37" s="3">
        <v>50</v>
      </c>
      <c r="I37" s="232"/>
      <c r="J37" s="3" t="s">
        <v>129</v>
      </c>
      <c r="K37" s="3"/>
      <c r="L37" s="268"/>
      <c r="M37" s="268"/>
      <c r="N37" s="270"/>
      <c r="O37" s="268"/>
      <c r="P37" s="268"/>
      <c r="Q37" s="270"/>
      <c r="R37" s="270"/>
      <c r="S37" s="270"/>
      <c r="T37" s="272"/>
      <c r="U37" s="3" t="s">
        <v>150</v>
      </c>
      <c r="V37" s="3" t="s">
        <v>150</v>
      </c>
      <c r="W37" s="3" t="s">
        <v>150</v>
      </c>
      <c r="X37" s="3" t="s">
        <v>150</v>
      </c>
      <c r="Y37" s="3" t="s">
        <v>150</v>
      </c>
      <c r="Z37" s="3" t="s">
        <v>150</v>
      </c>
      <c r="AA37" s="271"/>
      <c r="AB37" s="271"/>
      <c r="AC37" s="3" t="s">
        <v>256</v>
      </c>
      <c r="AD37" s="3"/>
      <c r="AE37" s="3"/>
      <c r="AF37" s="232"/>
      <c r="AG37" s="3"/>
      <c r="AH37" s="18"/>
    </row>
    <row r="38" spans="1:34" x14ac:dyDescent="0.3">
      <c r="A38" s="337"/>
      <c r="B38" s="363"/>
      <c r="C38" s="305"/>
      <c r="D38" s="406"/>
      <c r="E38" s="271"/>
      <c r="F38" s="377"/>
      <c r="G38" s="3" t="s">
        <v>130</v>
      </c>
      <c r="H38" s="3">
        <v>2477</v>
      </c>
      <c r="I38" s="232"/>
      <c r="J38" s="3" t="s">
        <v>131</v>
      </c>
      <c r="K38" s="3"/>
      <c r="L38" s="268"/>
      <c r="M38" s="268"/>
      <c r="N38" s="270"/>
      <c r="O38" s="268"/>
      <c r="P38" s="268"/>
      <c r="Q38" s="270"/>
      <c r="R38" s="270"/>
      <c r="S38" s="270"/>
      <c r="T38" s="272"/>
      <c r="U38" s="3" t="s">
        <v>150</v>
      </c>
      <c r="V38" s="3" t="s">
        <v>150</v>
      </c>
      <c r="W38" s="3" t="s">
        <v>150</v>
      </c>
      <c r="X38" s="3" t="s">
        <v>150</v>
      </c>
      <c r="Y38" s="3" t="s">
        <v>150</v>
      </c>
      <c r="Z38" s="3" t="s">
        <v>150</v>
      </c>
      <c r="AA38" s="271"/>
      <c r="AB38" s="271"/>
      <c r="AC38" s="3" t="s">
        <v>257</v>
      </c>
      <c r="AD38" s="3"/>
      <c r="AE38" s="3"/>
      <c r="AF38" s="232"/>
      <c r="AG38" s="3"/>
      <c r="AH38" s="18"/>
    </row>
    <row r="39" spans="1:34" x14ac:dyDescent="0.3">
      <c r="A39" s="337"/>
      <c r="B39" s="363"/>
      <c r="C39" s="305"/>
      <c r="D39" s="406"/>
      <c r="E39" s="271"/>
      <c r="F39" s="377"/>
      <c r="G39" s="3" t="s">
        <v>132</v>
      </c>
      <c r="H39" s="3">
        <v>122</v>
      </c>
      <c r="I39" s="232"/>
      <c r="J39" s="3" t="s">
        <v>133</v>
      </c>
      <c r="K39" s="3"/>
      <c r="L39" s="268"/>
      <c r="M39" s="268"/>
      <c r="N39" s="270"/>
      <c r="O39" s="268"/>
      <c r="P39" s="268"/>
      <c r="Q39" s="270"/>
      <c r="R39" s="270"/>
      <c r="S39" s="270"/>
      <c r="T39" s="272"/>
      <c r="U39" s="3" t="s">
        <v>150</v>
      </c>
      <c r="V39" s="3" t="s">
        <v>150</v>
      </c>
      <c r="W39" s="3" t="s">
        <v>150</v>
      </c>
      <c r="X39" s="3" t="s">
        <v>150</v>
      </c>
      <c r="Y39" s="3" t="s">
        <v>150</v>
      </c>
      <c r="Z39" s="3" t="s">
        <v>150</v>
      </c>
      <c r="AA39" s="271"/>
      <c r="AB39" s="271"/>
      <c r="AC39" s="3" t="s">
        <v>258</v>
      </c>
      <c r="AD39" s="3"/>
      <c r="AE39" s="3"/>
      <c r="AF39" s="232"/>
      <c r="AG39" s="3"/>
      <c r="AH39" s="18"/>
    </row>
    <row r="40" spans="1:34" x14ac:dyDescent="0.3">
      <c r="A40" s="337"/>
      <c r="B40" s="363"/>
      <c r="C40" s="305"/>
      <c r="D40" s="406"/>
      <c r="E40" s="271"/>
      <c r="F40" s="377"/>
      <c r="G40" s="7" t="s">
        <v>441</v>
      </c>
      <c r="H40" s="3"/>
      <c r="I40" s="233"/>
      <c r="J40" s="3"/>
      <c r="K40" s="3"/>
      <c r="L40" s="269"/>
      <c r="M40" s="269"/>
      <c r="N40" s="270"/>
      <c r="O40" s="269"/>
      <c r="P40" s="269"/>
      <c r="Q40" s="270"/>
      <c r="R40" s="270"/>
      <c r="S40" s="270"/>
      <c r="T40" s="273"/>
      <c r="U40" s="7" t="s">
        <v>138</v>
      </c>
      <c r="V40" s="7" t="s">
        <v>147</v>
      </c>
      <c r="W40" s="7" t="s">
        <v>140</v>
      </c>
      <c r="X40" s="7" t="s">
        <v>148</v>
      </c>
      <c r="Y40" s="7" t="s">
        <v>142</v>
      </c>
      <c r="Z40" s="7" t="s">
        <v>149</v>
      </c>
      <c r="AA40" s="271"/>
      <c r="AB40" s="271"/>
      <c r="AC40" s="7" t="s">
        <v>259</v>
      </c>
      <c r="AD40" s="7" t="s">
        <v>260</v>
      </c>
      <c r="AE40" s="7" t="s">
        <v>260</v>
      </c>
      <c r="AF40" s="233"/>
      <c r="AG40" s="7" t="s">
        <v>261</v>
      </c>
      <c r="AH40" s="58" t="s">
        <v>262</v>
      </c>
    </row>
    <row r="41" spans="1:34" ht="409.6" customHeight="1" x14ac:dyDescent="0.3">
      <c r="A41" s="337"/>
      <c r="B41" s="363"/>
      <c r="C41" s="305"/>
      <c r="D41" s="275"/>
      <c r="E41" s="281" t="s">
        <v>9</v>
      </c>
      <c r="F41" s="378" t="s">
        <v>11</v>
      </c>
      <c r="G41" s="5" t="s">
        <v>75</v>
      </c>
      <c r="H41" s="56">
        <v>196</v>
      </c>
      <c r="I41" s="284" t="s">
        <v>1058</v>
      </c>
      <c r="J41" s="55" t="s">
        <v>76</v>
      </c>
      <c r="K41" s="55">
        <v>29</v>
      </c>
      <c r="L41" s="293" t="s">
        <v>1033</v>
      </c>
      <c r="M41" s="284" t="s">
        <v>845</v>
      </c>
      <c r="N41" s="293" t="s">
        <v>1038</v>
      </c>
      <c r="O41" s="281" t="s">
        <v>13</v>
      </c>
      <c r="P41" s="234" t="s">
        <v>999</v>
      </c>
      <c r="Q41" s="293" t="s">
        <v>668</v>
      </c>
      <c r="R41" s="293" t="s">
        <v>668</v>
      </c>
      <c r="S41" s="293" t="s">
        <v>995</v>
      </c>
      <c r="T41" s="300" t="s">
        <v>1092</v>
      </c>
      <c r="U41" s="276" t="s">
        <v>360</v>
      </c>
      <c r="V41" s="302"/>
      <c r="W41" s="302"/>
      <c r="X41" s="302"/>
      <c r="Y41" s="302"/>
      <c r="Z41" s="277"/>
      <c r="AA41" s="276" t="s">
        <v>668</v>
      </c>
      <c r="AB41" s="277"/>
      <c r="AC41" s="55" t="s">
        <v>293</v>
      </c>
      <c r="AD41" s="55" t="s">
        <v>294</v>
      </c>
      <c r="AE41" s="55" t="s">
        <v>295</v>
      </c>
      <c r="AF41" s="55"/>
      <c r="AG41" s="55" t="s">
        <v>183</v>
      </c>
      <c r="AH41" s="57" t="s">
        <v>184</v>
      </c>
    </row>
    <row r="42" spans="1:34" x14ac:dyDescent="0.3">
      <c r="A42" s="337"/>
      <c r="B42" s="363"/>
      <c r="C42" s="305"/>
      <c r="D42" s="275"/>
      <c r="E42" s="282"/>
      <c r="F42" s="379"/>
      <c r="G42" s="5" t="s">
        <v>170</v>
      </c>
      <c r="H42" s="5" t="s">
        <v>154</v>
      </c>
      <c r="I42" s="285"/>
      <c r="J42" s="5" t="s">
        <v>168</v>
      </c>
      <c r="K42" s="5">
        <v>9</v>
      </c>
      <c r="L42" s="294"/>
      <c r="M42" s="285"/>
      <c r="N42" s="294"/>
      <c r="O42" s="282"/>
      <c r="P42" s="235"/>
      <c r="Q42" s="294"/>
      <c r="R42" s="294"/>
      <c r="S42" s="294"/>
      <c r="T42" s="300"/>
      <c r="U42" s="276"/>
      <c r="V42" s="302"/>
      <c r="W42" s="302"/>
      <c r="X42" s="302"/>
      <c r="Y42" s="302"/>
      <c r="Z42" s="277"/>
      <c r="AA42" s="276"/>
      <c r="AB42" s="277"/>
      <c r="AC42" s="5" t="s">
        <v>296</v>
      </c>
      <c r="AD42" s="5" t="s">
        <v>297</v>
      </c>
      <c r="AE42" s="5" t="s">
        <v>298</v>
      </c>
      <c r="AF42" s="5"/>
      <c r="AG42" s="5" t="s">
        <v>299</v>
      </c>
      <c r="AH42" s="19" t="s">
        <v>300</v>
      </c>
    </row>
    <row r="43" spans="1:34" x14ac:dyDescent="0.3">
      <c r="A43" s="337"/>
      <c r="B43" s="363"/>
      <c r="C43" s="305"/>
      <c r="D43" s="275"/>
      <c r="E43" s="282"/>
      <c r="F43" s="379"/>
      <c r="G43" s="5" t="s">
        <v>80</v>
      </c>
      <c r="H43" s="5">
        <v>305</v>
      </c>
      <c r="I43" s="285"/>
      <c r="J43" s="5" t="s">
        <v>76</v>
      </c>
      <c r="K43" s="5">
        <v>103</v>
      </c>
      <c r="L43" s="294"/>
      <c r="M43" s="285"/>
      <c r="N43" s="294"/>
      <c r="O43" s="282"/>
      <c r="P43" s="235"/>
      <c r="Q43" s="294"/>
      <c r="R43" s="294"/>
      <c r="S43" s="294"/>
      <c r="T43" s="300"/>
      <c r="U43" s="276"/>
      <c r="V43" s="302"/>
      <c r="W43" s="302"/>
      <c r="X43" s="302"/>
      <c r="Y43" s="302"/>
      <c r="Z43" s="277"/>
      <c r="AA43" s="276"/>
      <c r="AB43" s="277"/>
      <c r="AC43" s="5" t="s">
        <v>247</v>
      </c>
      <c r="AD43" s="5" t="s">
        <v>301</v>
      </c>
      <c r="AE43" s="5" t="s">
        <v>302</v>
      </c>
      <c r="AF43" s="5"/>
      <c r="AG43" s="5" t="s">
        <v>191</v>
      </c>
      <c r="AH43" s="19" t="s">
        <v>192</v>
      </c>
    </row>
    <row r="44" spans="1:34" x14ac:dyDescent="0.3">
      <c r="A44" s="337"/>
      <c r="B44" s="363"/>
      <c r="C44" s="305"/>
      <c r="D44" s="275"/>
      <c r="E44" s="282"/>
      <c r="F44" s="379"/>
      <c r="G44" s="5" t="s">
        <v>171</v>
      </c>
      <c r="H44" s="5">
        <v>237</v>
      </c>
      <c r="I44" s="285"/>
      <c r="J44" s="5" t="s">
        <v>76</v>
      </c>
      <c r="K44" s="5">
        <v>120</v>
      </c>
      <c r="L44" s="294"/>
      <c r="M44" s="285"/>
      <c r="N44" s="294"/>
      <c r="O44" s="282"/>
      <c r="P44" s="235"/>
      <c r="Q44" s="294"/>
      <c r="R44" s="294"/>
      <c r="S44" s="294"/>
      <c r="T44" s="300"/>
      <c r="U44" s="276"/>
      <c r="V44" s="302"/>
      <c r="W44" s="302"/>
      <c r="X44" s="302"/>
      <c r="Y44" s="302"/>
      <c r="Z44" s="277"/>
      <c r="AA44" s="276"/>
      <c r="AB44" s="277"/>
      <c r="AC44" s="5" t="s">
        <v>303</v>
      </c>
      <c r="AD44" s="5" t="s">
        <v>226</v>
      </c>
      <c r="AE44" s="5" t="s">
        <v>304</v>
      </c>
      <c r="AF44" s="5"/>
      <c r="AG44" s="5" t="s">
        <v>305</v>
      </c>
      <c r="AH44" s="19" t="s">
        <v>306</v>
      </c>
    </row>
    <row r="45" spans="1:34" x14ac:dyDescent="0.3">
      <c r="A45" s="337"/>
      <c r="B45" s="363"/>
      <c r="C45" s="305"/>
      <c r="D45" s="275"/>
      <c r="E45" s="282"/>
      <c r="F45" s="379"/>
      <c r="G45" s="5" t="s">
        <v>83</v>
      </c>
      <c r="H45" s="5" t="s">
        <v>155</v>
      </c>
      <c r="I45" s="285"/>
      <c r="J45" s="5" t="s">
        <v>76</v>
      </c>
      <c r="K45" s="5">
        <v>1</v>
      </c>
      <c r="L45" s="294"/>
      <c r="M45" s="285"/>
      <c r="N45" s="294"/>
      <c r="O45" s="282"/>
      <c r="P45" s="235"/>
      <c r="Q45" s="294"/>
      <c r="R45" s="294"/>
      <c r="S45" s="294"/>
      <c r="T45" s="300"/>
      <c r="U45" s="276"/>
      <c r="V45" s="302"/>
      <c r="W45" s="302"/>
      <c r="X45" s="302"/>
      <c r="Y45" s="302"/>
      <c r="Z45" s="277"/>
      <c r="AA45" s="276"/>
      <c r="AB45" s="277"/>
      <c r="AC45" s="5" t="s">
        <v>307</v>
      </c>
      <c r="AD45" s="5" t="s">
        <v>198</v>
      </c>
      <c r="AE45" s="5" t="s">
        <v>198</v>
      </c>
      <c r="AF45" s="5"/>
      <c r="AG45" s="5" t="s">
        <v>198</v>
      </c>
      <c r="AH45" s="19" t="s">
        <v>198</v>
      </c>
    </row>
    <row r="46" spans="1:34" x14ac:dyDescent="0.3">
      <c r="A46" s="337"/>
      <c r="B46" s="363"/>
      <c r="C46" s="305"/>
      <c r="D46" s="275"/>
      <c r="E46" s="282"/>
      <c r="F46" s="379"/>
      <c r="G46" s="5" t="s">
        <v>86</v>
      </c>
      <c r="H46" s="5">
        <v>548</v>
      </c>
      <c r="I46" s="285"/>
      <c r="J46" s="5" t="s">
        <v>76</v>
      </c>
      <c r="K46" s="5">
        <v>158</v>
      </c>
      <c r="L46" s="294"/>
      <c r="M46" s="285"/>
      <c r="N46" s="294"/>
      <c r="O46" s="282"/>
      <c r="P46" s="235"/>
      <c r="Q46" s="294"/>
      <c r="R46" s="294"/>
      <c r="S46" s="294"/>
      <c r="T46" s="300"/>
      <c r="U46" s="276"/>
      <c r="V46" s="302"/>
      <c r="W46" s="302"/>
      <c r="X46" s="302"/>
      <c r="Y46" s="302"/>
      <c r="Z46" s="277"/>
      <c r="AA46" s="276"/>
      <c r="AB46" s="277"/>
      <c r="AC46" s="5" t="s">
        <v>308</v>
      </c>
      <c r="AD46" s="5" t="s">
        <v>309</v>
      </c>
      <c r="AE46" s="5" t="s">
        <v>310</v>
      </c>
      <c r="AF46" s="5"/>
      <c r="AG46" s="5" t="s">
        <v>207</v>
      </c>
      <c r="AH46" s="19" t="s">
        <v>208</v>
      </c>
    </row>
    <row r="47" spans="1:34" x14ac:dyDescent="0.3">
      <c r="A47" s="337"/>
      <c r="B47" s="363"/>
      <c r="C47" s="305"/>
      <c r="D47" s="275"/>
      <c r="E47" s="282"/>
      <c r="F47" s="379"/>
      <c r="G47" s="5" t="s">
        <v>87</v>
      </c>
      <c r="H47" s="5">
        <v>306</v>
      </c>
      <c r="I47" s="285"/>
      <c r="J47" s="5" t="s">
        <v>76</v>
      </c>
      <c r="K47" s="5">
        <v>100</v>
      </c>
      <c r="L47" s="294"/>
      <c r="M47" s="285"/>
      <c r="N47" s="294"/>
      <c r="O47" s="282"/>
      <c r="P47" s="235"/>
      <c r="Q47" s="294"/>
      <c r="R47" s="294"/>
      <c r="S47" s="294"/>
      <c r="T47" s="300"/>
      <c r="U47" s="276"/>
      <c r="V47" s="302"/>
      <c r="W47" s="302"/>
      <c r="X47" s="302"/>
      <c r="Y47" s="302"/>
      <c r="Z47" s="277"/>
      <c r="AA47" s="276"/>
      <c r="AB47" s="277"/>
      <c r="AC47" s="5" t="s">
        <v>311</v>
      </c>
      <c r="AD47" s="5" t="s">
        <v>312</v>
      </c>
      <c r="AE47" s="5" t="s">
        <v>313</v>
      </c>
      <c r="AF47" s="5"/>
      <c r="AG47" s="5" t="s">
        <v>212</v>
      </c>
      <c r="AH47" s="19" t="s">
        <v>213</v>
      </c>
    </row>
    <row r="48" spans="1:34" x14ac:dyDescent="0.3">
      <c r="A48" s="337"/>
      <c r="B48" s="363"/>
      <c r="C48" s="305"/>
      <c r="D48" s="275"/>
      <c r="E48" s="282"/>
      <c r="F48" s="379"/>
      <c r="G48" s="5" t="s">
        <v>88</v>
      </c>
      <c r="H48" s="5" t="s">
        <v>156</v>
      </c>
      <c r="I48" s="285"/>
      <c r="J48" s="5" t="s">
        <v>76</v>
      </c>
      <c r="K48" s="5" t="s">
        <v>90</v>
      </c>
      <c r="L48" s="294"/>
      <c r="M48" s="285"/>
      <c r="N48" s="294"/>
      <c r="O48" s="282"/>
      <c r="P48" s="235"/>
      <c r="Q48" s="294"/>
      <c r="R48" s="294"/>
      <c r="S48" s="294"/>
      <c r="T48" s="300"/>
      <c r="U48" s="276"/>
      <c r="V48" s="302"/>
      <c r="W48" s="302"/>
      <c r="X48" s="302"/>
      <c r="Y48" s="302"/>
      <c r="Z48" s="277"/>
      <c r="AA48" s="276"/>
      <c r="AB48" s="277"/>
      <c r="AC48" s="5" t="s">
        <v>314</v>
      </c>
      <c r="AD48" s="5" t="s">
        <v>315</v>
      </c>
      <c r="AE48" s="5" t="s">
        <v>316</v>
      </c>
      <c r="AF48" s="5"/>
      <c r="AG48" s="5" t="s">
        <v>214</v>
      </c>
      <c r="AH48" s="19" t="s">
        <v>317</v>
      </c>
    </row>
    <row r="49" spans="1:34" x14ac:dyDescent="0.3">
      <c r="A49" s="337"/>
      <c r="B49" s="363"/>
      <c r="C49" s="305"/>
      <c r="D49" s="275"/>
      <c r="E49" s="282"/>
      <c r="F49" s="379"/>
      <c r="G49" s="5" t="s">
        <v>91</v>
      </c>
      <c r="H49" s="5" t="s">
        <v>157</v>
      </c>
      <c r="I49" s="285"/>
      <c r="J49" s="5" t="s">
        <v>76</v>
      </c>
      <c r="K49" s="5" t="s">
        <v>93</v>
      </c>
      <c r="L49" s="294"/>
      <c r="M49" s="285"/>
      <c r="N49" s="294"/>
      <c r="O49" s="282"/>
      <c r="P49" s="235"/>
      <c r="Q49" s="294"/>
      <c r="R49" s="294"/>
      <c r="S49" s="294"/>
      <c r="T49" s="300"/>
      <c r="U49" s="276"/>
      <c r="V49" s="302"/>
      <c r="W49" s="302"/>
      <c r="X49" s="302"/>
      <c r="Y49" s="302"/>
      <c r="Z49" s="277"/>
      <c r="AA49" s="276"/>
      <c r="AB49" s="277"/>
      <c r="AC49" s="5" t="s">
        <v>318</v>
      </c>
      <c r="AD49" s="5" t="s">
        <v>315</v>
      </c>
      <c r="AE49" s="5" t="s">
        <v>319</v>
      </c>
      <c r="AF49" s="5"/>
      <c r="AG49" s="5" t="s">
        <v>217</v>
      </c>
      <c r="AH49" s="19" t="s">
        <v>320</v>
      </c>
    </row>
    <row r="50" spans="1:34" x14ac:dyDescent="0.3">
      <c r="A50" s="337"/>
      <c r="B50" s="363"/>
      <c r="C50" s="305"/>
      <c r="D50" s="275"/>
      <c r="E50" s="282"/>
      <c r="F50" s="379"/>
      <c r="G50" s="5" t="s">
        <v>94</v>
      </c>
      <c r="H50" s="5" t="s">
        <v>158</v>
      </c>
      <c r="I50" s="285"/>
      <c r="J50" s="5" t="s">
        <v>76</v>
      </c>
      <c r="K50" s="5" t="s">
        <v>90</v>
      </c>
      <c r="L50" s="294"/>
      <c r="M50" s="285"/>
      <c r="N50" s="294"/>
      <c r="O50" s="282"/>
      <c r="P50" s="235"/>
      <c r="Q50" s="294"/>
      <c r="R50" s="294"/>
      <c r="S50" s="294"/>
      <c r="T50" s="300"/>
      <c r="U50" s="276"/>
      <c r="V50" s="302"/>
      <c r="W50" s="302"/>
      <c r="X50" s="302"/>
      <c r="Y50" s="302"/>
      <c r="Z50" s="277"/>
      <c r="AA50" s="276"/>
      <c r="AB50" s="277"/>
      <c r="AC50" s="5" t="s">
        <v>321</v>
      </c>
      <c r="AD50" s="5" t="s">
        <v>322</v>
      </c>
      <c r="AE50" s="5" t="s">
        <v>323</v>
      </c>
      <c r="AF50" s="5"/>
      <c r="AG50" s="5" t="s">
        <v>221</v>
      </c>
      <c r="AH50" s="19" t="s">
        <v>269</v>
      </c>
    </row>
    <row r="51" spans="1:34" x14ac:dyDescent="0.3">
      <c r="A51" s="337"/>
      <c r="B51" s="363"/>
      <c r="C51" s="305"/>
      <c r="D51" s="275"/>
      <c r="E51" s="282"/>
      <c r="F51" s="379"/>
      <c r="G51" s="5" t="s">
        <v>96</v>
      </c>
      <c r="H51" s="5" t="s">
        <v>158</v>
      </c>
      <c r="I51" s="285"/>
      <c r="J51" s="5" t="s">
        <v>76</v>
      </c>
      <c r="K51" s="5" t="s">
        <v>90</v>
      </c>
      <c r="L51" s="294"/>
      <c r="M51" s="285"/>
      <c r="N51" s="294"/>
      <c r="O51" s="282"/>
      <c r="P51" s="235"/>
      <c r="Q51" s="294"/>
      <c r="R51" s="294"/>
      <c r="S51" s="294"/>
      <c r="T51" s="300"/>
      <c r="U51" s="276"/>
      <c r="V51" s="302"/>
      <c r="W51" s="302"/>
      <c r="X51" s="302"/>
      <c r="Y51" s="302"/>
      <c r="Z51" s="277"/>
      <c r="AA51" s="276"/>
      <c r="AB51" s="277"/>
      <c r="AC51" s="5" t="s">
        <v>321</v>
      </c>
      <c r="AD51" s="5" t="s">
        <v>322</v>
      </c>
      <c r="AE51" s="5" t="s">
        <v>323</v>
      </c>
      <c r="AF51" s="5"/>
      <c r="AG51" s="5" t="s">
        <v>270</v>
      </c>
      <c r="AH51" s="19" t="s">
        <v>271</v>
      </c>
    </row>
    <row r="52" spans="1:34" x14ac:dyDescent="0.3">
      <c r="A52" s="337"/>
      <c r="B52" s="363"/>
      <c r="C52" s="305"/>
      <c r="D52" s="275"/>
      <c r="E52" s="282"/>
      <c r="F52" s="379"/>
      <c r="G52" s="5" t="s">
        <v>97</v>
      </c>
      <c r="H52" s="5">
        <v>62</v>
      </c>
      <c r="I52" s="285"/>
      <c r="J52" s="5" t="s">
        <v>76</v>
      </c>
      <c r="K52" s="5" t="s">
        <v>93</v>
      </c>
      <c r="L52" s="294"/>
      <c r="M52" s="285"/>
      <c r="N52" s="294"/>
      <c r="O52" s="282"/>
      <c r="P52" s="235"/>
      <c r="Q52" s="294"/>
      <c r="R52" s="294"/>
      <c r="S52" s="294"/>
      <c r="T52" s="300"/>
      <c r="U52" s="276"/>
      <c r="V52" s="302"/>
      <c r="W52" s="302"/>
      <c r="X52" s="302"/>
      <c r="Y52" s="302"/>
      <c r="Z52" s="277"/>
      <c r="AA52" s="276"/>
      <c r="AB52" s="277"/>
      <c r="AC52" s="5" t="s">
        <v>324</v>
      </c>
      <c r="AD52" s="5" t="s">
        <v>325</v>
      </c>
      <c r="AE52" s="5" t="s">
        <v>326</v>
      </c>
      <c r="AF52" s="5"/>
      <c r="AG52" s="5" t="s">
        <v>224</v>
      </c>
      <c r="AH52" s="19" t="s">
        <v>274</v>
      </c>
    </row>
    <row r="53" spans="1:34" x14ac:dyDescent="0.3">
      <c r="A53" s="337"/>
      <c r="B53" s="363"/>
      <c r="C53" s="305"/>
      <c r="D53" s="275"/>
      <c r="E53" s="282"/>
      <c r="F53" s="379"/>
      <c r="G53" s="5" t="s">
        <v>99</v>
      </c>
      <c r="H53" s="5" t="s">
        <v>159</v>
      </c>
      <c r="I53" s="285"/>
      <c r="J53" s="5" t="s">
        <v>76</v>
      </c>
      <c r="K53" s="5" t="s">
        <v>90</v>
      </c>
      <c r="L53" s="294"/>
      <c r="M53" s="285"/>
      <c r="N53" s="294"/>
      <c r="O53" s="282"/>
      <c r="P53" s="235"/>
      <c r="Q53" s="294"/>
      <c r="R53" s="294"/>
      <c r="S53" s="294"/>
      <c r="T53" s="300"/>
      <c r="U53" s="276"/>
      <c r="V53" s="302"/>
      <c r="W53" s="302"/>
      <c r="X53" s="302"/>
      <c r="Y53" s="302"/>
      <c r="Z53" s="277"/>
      <c r="AA53" s="276"/>
      <c r="AB53" s="277"/>
      <c r="AC53" s="5" t="s">
        <v>327</v>
      </c>
      <c r="AD53" s="5" t="s">
        <v>328</v>
      </c>
      <c r="AE53" s="5" t="s">
        <v>329</v>
      </c>
      <c r="AF53" s="5"/>
      <c r="AG53" s="5" t="s">
        <v>196</v>
      </c>
      <c r="AH53" s="19" t="s">
        <v>277</v>
      </c>
    </row>
    <row r="54" spans="1:34" x14ac:dyDescent="0.3">
      <c r="A54" s="337"/>
      <c r="B54" s="363"/>
      <c r="C54" s="305"/>
      <c r="D54" s="275"/>
      <c r="E54" s="282"/>
      <c r="F54" s="379"/>
      <c r="G54" s="5" t="s">
        <v>101</v>
      </c>
      <c r="H54" s="5">
        <v>49</v>
      </c>
      <c r="I54" s="285"/>
      <c r="J54" s="5" t="s">
        <v>76</v>
      </c>
      <c r="K54" s="5">
        <v>5</v>
      </c>
      <c r="L54" s="294"/>
      <c r="M54" s="285"/>
      <c r="N54" s="294"/>
      <c r="O54" s="282"/>
      <c r="P54" s="235"/>
      <c r="Q54" s="294"/>
      <c r="R54" s="294"/>
      <c r="S54" s="294"/>
      <c r="T54" s="300"/>
      <c r="U54" s="276"/>
      <c r="V54" s="302"/>
      <c r="W54" s="302"/>
      <c r="X54" s="302"/>
      <c r="Y54" s="302"/>
      <c r="Z54" s="277"/>
      <c r="AA54" s="276"/>
      <c r="AB54" s="277"/>
      <c r="AC54" s="5" t="s">
        <v>330</v>
      </c>
      <c r="AD54" s="5" t="s">
        <v>331</v>
      </c>
      <c r="AE54" s="5" t="s">
        <v>332</v>
      </c>
      <c r="AF54" s="5"/>
      <c r="AG54" s="5" t="s">
        <v>229</v>
      </c>
      <c r="AH54" s="19" t="s">
        <v>333</v>
      </c>
    </row>
    <row r="55" spans="1:34" x14ac:dyDescent="0.3">
      <c r="A55" s="337"/>
      <c r="B55" s="363"/>
      <c r="C55" s="305"/>
      <c r="D55" s="275"/>
      <c r="E55" s="282"/>
      <c r="F55" s="379"/>
      <c r="G55" s="5" t="s">
        <v>103</v>
      </c>
      <c r="H55" s="5" t="s">
        <v>160</v>
      </c>
      <c r="I55" s="285"/>
      <c r="J55" s="5" t="s">
        <v>76</v>
      </c>
      <c r="K55" s="5" t="s">
        <v>93</v>
      </c>
      <c r="L55" s="294"/>
      <c r="M55" s="285"/>
      <c r="N55" s="294"/>
      <c r="O55" s="282"/>
      <c r="P55" s="235"/>
      <c r="Q55" s="294"/>
      <c r="R55" s="294"/>
      <c r="S55" s="294"/>
      <c r="T55" s="300"/>
      <c r="U55" s="276"/>
      <c r="V55" s="302"/>
      <c r="W55" s="302"/>
      <c r="X55" s="302"/>
      <c r="Y55" s="302"/>
      <c r="Z55" s="277"/>
      <c r="AA55" s="276"/>
      <c r="AB55" s="277"/>
      <c r="AC55" s="5" t="s">
        <v>334</v>
      </c>
      <c r="AD55" s="5" t="s">
        <v>237</v>
      </c>
      <c r="AE55" s="5" t="s">
        <v>237</v>
      </c>
      <c r="AF55" s="5"/>
      <c r="AG55" s="5" t="s">
        <v>291</v>
      </c>
      <c r="AH55" s="19" t="s">
        <v>292</v>
      </c>
    </row>
    <row r="56" spans="1:34" x14ac:dyDescent="0.3">
      <c r="A56" s="337"/>
      <c r="B56" s="363"/>
      <c r="C56" s="305"/>
      <c r="D56" s="275"/>
      <c r="E56" s="282"/>
      <c r="F56" s="379"/>
      <c r="G56" s="5" t="s">
        <v>105</v>
      </c>
      <c r="H56" s="5" t="s">
        <v>161</v>
      </c>
      <c r="I56" s="285"/>
      <c r="J56" s="5" t="s">
        <v>76</v>
      </c>
      <c r="K56" s="5" t="s">
        <v>93</v>
      </c>
      <c r="L56" s="294"/>
      <c r="M56" s="285"/>
      <c r="N56" s="294"/>
      <c r="O56" s="282"/>
      <c r="P56" s="235"/>
      <c r="Q56" s="294"/>
      <c r="R56" s="294"/>
      <c r="S56" s="294"/>
      <c r="T56" s="300"/>
      <c r="U56" s="276"/>
      <c r="V56" s="302"/>
      <c r="W56" s="302"/>
      <c r="X56" s="302"/>
      <c r="Y56" s="302"/>
      <c r="Z56" s="277"/>
      <c r="AA56" s="276"/>
      <c r="AB56" s="277"/>
      <c r="AC56" s="5" t="s">
        <v>335</v>
      </c>
      <c r="AD56" s="5" t="s">
        <v>336</v>
      </c>
      <c r="AE56" s="5" t="s">
        <v>337</v>
      </c>
      <c r="AF56" s="5"/>
      <c r="AG56" s="5" t="s">
        <v>235</v>
      </c>
      <c r="AH56" s="19" t="s">
        <v>236</v>
      </c>
    </row>
    <row r="57" spans="1:34" x14ac:dyDescent="0.3">
      <c r="A57" s="337"/>
      <c r="B57" s="363"/>
      <c r="C57" s="305"/>
      <c r="D57" s="275"/>
      <c r="E57" s="282"/>
      <c r="F57" s="379"/>
      <c r="G57" s="5" t="s">
        <v>107</v>
      </c>
      <c r="H57" s="5" t="s">
        <v>162</v>
      </c>
      <c r="I57" s="285"/>
      <c r="J57" s="5" t="s">
        <v>76</v>
      </c>
      <c r="K57" s="5" t="s">
        <v>93</v>
      </c>
      <c r="L57" s="294"/>
      <c r="M57" s="285"/>
      <c r="N57" s="294"/>
      <c r="O57" s="282"/>
      <c r="P57" s="235"/>
      <c r="Q57" s="294"/>
      <c r="R57" s="294"/>
      <c r="S57" s="294"/>
      <c r="T57" s="300"/>
      <c r="U57" s="276"/>
      <c r="V57" s="302"/>
      <c r="W57" s="302"/>
      <c r="X57" s="302"/>
      <c r="Y57" s="302"/>
      <c r="Z57" s="277"/>
      <c r="AA57" s="276"/>
      <c r="AB57" s="277"/>
      <c r="AC57" s="5" t="s">
        <v>338</v>
      </c>
      <c r="AD57" s="5" t="s">
        <v>237</v>
      </c>
      <c r="AE57" s="5" t="s">
        <v>237</v>
      </c>
      <c r="AF57" s="5"/>
      <c r="AG57" s="5" t="s">
        <v>238</v>
      </c>
      <c r="AH57" s="19" t="s">
        <v>239</v>
      </c>
    </row>
    <row r="58" spans="1:34" x14ac:dyDescent="0.3">
      <c r="A58" s="337"/>
      <c r="B58" s="363"/>
      <c r="C58" s="305"/>
      <c r="D58" s="275"/>
      <c r="E58" s="282"/>
      <c r="F58" s="379"/>
      <c r="G58" s="5" t="s">
        <v>109</v>
      </c>
      <c r="H58" s="5">
        <v>19</v>
      </c>
      <c r="I58" s="285"/>
      <c r="J58" s="5" t="s">
        <v>76</v>
      </c>
      <c r="K58" s="5" t="s">
        <v>93</v>
      </c>
      <c r="L58" s="294"/>
      <c r="M58" s="285"/>
      <c r="N58" s="294"/>
      <c r="O58" s="282"/>
      <c r="P58" s="235"/>
      <c r="Q58" s="294"/>
      <c r="R58" s="294"/>
      <c r="S58" s="294"/>
      <c r="T58" s="300"/>
      <c r="U58" s="276"/>
      <c r="V58" s="302"/>
      <c r="W58" s="302"/>
      <c r="X58" s="302"/>
      <c r="Y58" s="302"/>
      <c r="Z58" s="277"/>
      <c r="AA58" s="276"/>
      <c r="AB58" s="277"/>
      <c r="AC58" s="5" t="s">
        <v>339</v>
      </c>
      <c r="AD58" s="5" t="s">
        <v>237</v>
      </c>
      <c r="AE58" s="5" t="s">
        <v>237</v>
      </c>
      <c r="AF58" s="5"/>
      <c r="AG58" s="5" t="s">
        <v>240</v>
      </c>
      <c r="AH58" s="19" t="s">
        <v>281</v>
      </c>
    </row>
    <row r="59" spans="1:34" x14ac:dyDescent="0.3">
      <c r="A59" s="337"/>
      <c r="B59" s="363"/>
      <c r="C59" s="305"/>
      <c r="D59" s="275"/>
      <c r="E59" s="282"/>
      <c r="F59" s="379"/>
      <c r="G59" s="5" t="s">
        <v>111</v>
      </c>
      <c r="H59" s="5" t="s">
        <v>163</v>
      </c>
      <c r="I59" s="285"/>
      <c r="J59" s="5" t="s">
        <v>76</v>
      </c>
      <c r="K59" s="5" t="s">
        <v>93</v>
      </c>
      <c r="L59" s="294"/>
      <c r="M59" s="285"/>
      <c r="N59" s="294"/>
      <c r="O59" s="282"/>
      <c r="P59" s="235"/>
      <c r="Q59" s="294"/>
      <c r="R59" s="294"/>
      <c r="S59" s="294"/>
      <c r="T59" s="300"/>
      <c r="U59" s="276"/>
      <c r="V59" s="302"/>
      <c r="W59" s="302"/>
      <c r="X59" s="302"/>
      <c r="Y59" s="302"/>
      <c r="Z59" s="277"/>
      <c r="AA59" s="276"/>
      <c r="AB59" s="277"/>
      <c r="AC59" s="5" t="s">
        <v>340</v>
      </c>
      <c r="AD59" s="5" t="s">
        <v>237</v>
      </c>
      <c r="AE59" s="5" t="s">
        <v>237</v>
      </c>
      <c r="AF59" s="5"/>
      <c r="AG59" s="5" t="s">
        <v>283</v>
      </c>
      <c r="AH59" s="19" t="s">
        <v>283</v>
      </c>
    </row>
    <row r="60" spans="1:34" x14ac:dyDescent="0.3">
      <c r="A60" s="337"/>
      <c r="B60" s="363"/>
      <c r="C60" s="305"/>
      <c r="D60" s="275"/>
      <c r="E60" s="282"/>
      <c r="F60" s="379"/>
      <c r="G60" s="5" t="s">
        <v>113</v>
      </c>
      <c r="H60" s="5" t="s">
        <v>164</v>
      </c>
      <c r="I60" s="285"/>
      <c r="J60" s="5" t="s">
        <v>76</v>
      </c>
      <c r="K60" s="5">
        <v>5</v>
      </c>
      <c r="L60" s="294"/>
      <c r="M60" s="285"/>
      <c r="N60" s="294"/>
      <c r="O60" s="282"/>
      <c r="P60" s="235"/>
      <c r="Q60" s="294"/>
      <c r="R60" s="294"/>
      <c r="S60" s="294"/>
      <c r="T60" s="300"/>
      <c r="U60" s="276"/>
      <c r="V60" s="302"/>
      <c r="W60" s="302"/>
      <c r="X60" s="302"/>
      <c r="Y60" s="302"/>
      <c r="Z60" s="277"/>
      <c r="AA60" s="276"/>
      <c r="AB60" s="277"/>
      <c r="AC60" s="5" t="s">
        <v>222</v>
      </c>
      <c r="AD60" s="5" t="s">
        <v>237</v>
      </c>
      <c r="AE60" s="5" t="s">
        <v>237</v>
      </c>
      <c r="AF60" s="5"/>
      <c r="AG60" s="5" t="s">
        <v>285</v>
      </c>
      <c r="AH60" s="19" t="s">
        <v>286</v>
      </c>
    </row>
    <row r="61" spans="1:34" x14ac:dyDescent="0.3">
      <c r="A61" s="337"/>
      <c r="B61" s="363"/>
      <c r="C61" s="305"/>
      <c r="D61" s="275"/>
      <c r="E61" s="282"/>
      <c r="F61" s="379"/>
      <c r="G61" s="5" t="s">
        <v>115</v>
      </c>
      <c r="H61" s="5">
        <v>136</v>
      </c>
      <c r="I61" s="285"/>
      <c r="J61" s="5" t="s">
        <v>76</v>
      </c>
      <c r="K61" s="5">
        <v>5</v>
      </c>
      <c r="L61" s="294"/>
      <c r="M61" s="285"/>
      <c r="N61" s="294"/>
      <c r="O61" s="282"/>
      <c r="P61" s="235"/>
      <c r="Q61" s="294"/>
      <c r="R61" s="294"/>
      <c r="S61" s="294"/>
      <c r="T61" s="300"/>
      <c r="U61" s="276"/>
      <c r="V61" s="302"/>
      <c r="W61" s="302"/>
      <c r="X61" s="302"/>
      <c r="Y61" s="302"/>
      <c r="Z61" s="277"/>
      <c r="AA61" s="276"/>
      <c r="AB61" s="277"/>
      <c r="AC61" s="5" t="s">
        <v>341</v>
      </c>
      <c r="AD61" s="5" t="s">
        <v>342</v>
      </c>
      <c r="AE61" s="5" t="s">
        <v>343</v>
      </c>
      <c r="AF61" s="5"/>
      <c r="AG61" s="5" t="s">
        <v>287</v>
      </c>
      <c r="AH61" s="19" t="s">
        <v>244</v>
      </c>
    </row>
    <row r="62" spans="1:34" x14ac:dyDescent="0.3">
      <c r="A62" s="337"/>
      <c r="B62" s="363"/>
      <c r="C62" s="305"/>
      <c r="D62" s="275"/>
      <c r="E62" s="282"/>
      <c r="F62" s="379"/>
      <c r="G62" s="5" t="s">
        <v>117</v>
      </c>
      <c r="H62" s="5">
        <v>56</v>
      </c>
      <c r="I62" s="285"/>
      <c r="J62" s="5" t="s">
        <v>76</v>
      </c>
      <c r="K62" s="5">
        <v>5</v>
      </c>
      <c r="L62" s="294"/>
      <c r="M62" s="285"/>
      <c r="N62" s="294"/>
      <c r="O62" s="282"/>
      <c r="P62" s="235"/>
      <c r="Q62" s="294"/>
      <c r="R62" s="294"/>
      <c r="S62" s="294"/>
      <c r="T62" s="300"/>
      <c r="U62" s="276"/>
      <c r="V62" s="302"/>
      <c r="W62" s="302"/>
      <c r="X62" s="302"/>
      <c r="Y62" s="302"/>
      <c r="Z62" s="277"/>
      <c r="AA62" s="276"/>
      <c r="AB62" s="277"/>
      <c r="AC62" s="5" t="s">
        <v>344</v>
      </c>
      <c r="AD62" s="5" t="s">
        <v>345</v>
      </c>
      <c r="AE62" s="5" t="s">
        <v>346</v>
      </c>
      <c r="AF62" s="5"/>
      <c r="AG62" s="5" t="s">
        <v>248</v>
      </c>
      <c r="AH62" s="19" t="s">
        <v>347</v>
      </c>
    </row>
    <row r="63" spans="1:34" x14ac:dyDescent="0.3">
      <c r="A63" s="337"/>
      <c r="B63" s="363"/>
      <c r="C63" s="305"/>
      <c r="D63" s="275"/>
      <c r="E63" s="282"/>
      <c r="F63" s="379"/>
      <c r="G63" s="5" t="s">
        <v>173</v>
      </c>
      <c r="H63" s="5" t="s">
        <v>165</v>
      </c>
      <c r="I63" s="285"/>
      <c r="J63" s="5" t="s">
        <v>76</v>
      </c>
      <c r="K63" s="5">
        <v>5</v>
      </c>
      <c r="L63" s="294"/>
      <c r="M63" s="285"/>
      <c r="N63" s="294"/>
      <c r="O63" s="282"/>
      <c r="P63" s="235"/>
      <c r="Q63" s="294"/>
      <c r="R63" s="294"/>
      <c r="S63" s="294"/>
      <c r="T63" s="300"/>
      <c r="U63" s="276"/>
      <c r="V63" s="302"/>
      <c r="W63" s="302"/>
      <c r="X63" s="302"/>
      <c r="Y63" s="302"/>
      <c r="Z63" s="277"/>
      <c r="AA63" s="276"/>
      <c r="AB63" s="277"/>
      <c r="AC63" s="5" t="s">
        <v>348</v>
      </c>
      <c r="AD63" s="5" t="s">
        <v>349</v>
      </c>
      <c r="AE63" s="5" t="s">
        <v>350</v>
      </c>
      <c r="AF63" s="5"/>
      <c r="AG63" s="5" t="s">
        <v>351</v>
      </c>
      <c r="AH63" s="19" t="s">
        <v>236</v>
      </c>
    </row>
    <row r="64" spans="1:34" x14ac:dyDescent="0.3">
      <c r="A64" s="337"/>
      <c r="B64" s="363"/>
      <c r="C64" s="305"/>
      <c r="D64" s="275"/>
      <c r="E64" s="282"/>
      <c r="F64" s="379"/>
      <c r="G64" s="5" t="s">
        <v>119</v>
      </c>
      <c r="H64" s="5" t="s">
        <v>166</v>
      </c>
      <c r="I64" s="285"/>
      <c r="J64" s="5" t="s">
        <v>76</v>
      </c>
      <c r="K64" s="5" t="s">
        <v>93</v>
      </c>
      <c r="L64" s="294"/>
      <c r="M64" s="285"/>
      <c r="N64" s="294"/>
      <c r="O64" s="282"/>
      <c r="P64" s="235"/>
      <c r="Q64" s="294"/>
      <c r="R64" s="294"/>
      <c r="S64" s="294"/>
      <c r="T64" s="300"/>
      <c r="U64" s="276"/>
      <c r="V64" s="302"/>
      <c r="W64" s="302"/>
      <c r="X64" s="302"/>
      <c r="Y64" s="302"/>
      <c r="Z64" s="277"/>
      <c r="AA64" s="276"/>
      <c r="AB64" s="277"/>
      <c r="AC64" s="5" t="s">
        <v>246</v>
      </c>
      <c r="AD64" s="5" t="s">
        <v>352</v>
      </c>
      <c r="AE64" s="5" t="s">
        <v>353</v>
      </c>
      <c r="AF64" s="5"/>
      <c r="AG64" s="5" t="s">
        <v>252</v>
      </c>
      <c r="AH64" s="19" t="s">
        <v>354</v>
      </c>
    </row>
    <row r="65" spans="1:34" x14ac:dyDescent="0.3">
      <c r="A65" s="337"/>
      <c r="B65" s="363"/>
      <c r="C65" s="305"/>
      <c r="D65" s="275"/>
      <c r="E65" s="282"/>
      <c r="F65" s="379"/>
      <c r="G65" s="5" t="s">
        <v>121</v>
      </c>
      <c r="H65" s="5" t="s">
        <v>167</v>
      </c>
      <c r="I65" s="285"/>
      <c r="J65" s="5" t="s">
        <v>76</v>
      </c>
      <c r="K65" s="5">
        <v>10</v>
      </c>
      <c r="L65" s="294"/>
      <c r="M65" s="285"/>
      <c r="N65" s="294"/>
      <c r="O65" s="282"/>
      <c r="P65" s="235"/>
      <c r="Q65" s="294"/>
      <c r="R65" s="294"/>
      <c r="S65" s="294"/>
      <c r="T65" s="300"/>
      <c r="U65" s="276"/>
      <c r="V65" s="302"/>
      <c r="W65" s="302"/>
      <c r="X65" s="302"/>
      <c r="Y65" s="302"/>
      <c r="Z65" s="277"/>
      <c r="AA65" s="276"/>
      <c r="AB65" s="277"/>
      <c r="AC65" s="5" t="s">
        <v>355</v>
      </c>
      <c r="AD65" s="5" t="s">
        <v>289</v>
      </c>
      <c r="AE65" s="5" t="s">
        <v>289</v>
      </c>
      <c r="AF65" s="5"/>
      <c r="AG65" s="5" t="s">
        <v>290</v>
      </c>
      <c r="AH65" s="19" t="s">
        <v>290</v>
      </c>
    </row>
    <row r="66" spans="1:34" x14ac:dyDescent="0.3">
      <c r="A66" s="337"/>
      <c r="B66" s="363"/>
      <c r="C66" s="305"/>
      <c r="D66" s="275"/>
      <c r="E66" s="282"/>
      <c r="F66" s="379"/>
      <c r="G66" s="5" t="s">
        <v>123</v>
      </c>
      <c r="H66" s="5" t="s">
        <v>167</v>
      </c>
      <c r="I66" s="285"/>
      <c r="J66" s="5" t="s">
        <v>76</v>
      </c>
      <c r="K66" s="5"/>
      <c r="L66" s="294"/>
      <c r="M66" s="285"/>
      <c r="N66" s="294"/>
      <c r="O66" s="282"/>
      <c r="P66" s="235"/>
      <c r="Q66" s="294"/>
      <c r="R66" s="294"/>
      <c r="S66" s="294"/>
      <c r="T66" s="300"/>
      <c r="U66" s="276"/>
      <c r="V66" s="302"/>
      <c r="W66" s="302"/>
      <c r="X66" s="302"/>
      <c r="Y66" s="302"/>
      <c r="Z66" s="277"/>
      <c r="AA66" s="276"/>
      <c r="AB66" s="277"/>
      <c r="AC66" s="5"/>
      <c r="AD66" s="5"/>
      <c r="AE66" s="5"/>
      <c r="AF66" s="5"/>
      <c r="AG66" s="5"/>
      <c r="AH66" s="19"/>
    </row>
    <row r="67" spans="1:34" x14ac:dyDescent="0.3">
      <c r="A67" s="337"/>
      <c r="B67" s="363"/>
      <c r="C67" s="305"/>
      <c r="D67" s="275"/>
      <c r="E67" s="282"/>
      <c r="F67" s="379"/>
      <c r="G67" s="5" t="s">
        <v>125</v>
      </c>
      <c r="H67" s="5">
        <v>2663</v>
      </c>
      <c r="I67" s="285"/>
      <c r="J67" s="5" t="s">
        <v>126</v>
      </c>
      <c r="K67" s="5">
        <v>50</v>
      </c>
      <c r="L67" s="294"/>
      <c r="M67" s="285"/>
      <c r="N67" s="294"/>
      <c r="O67" s="282"/>
      <c r="P67" s="235"/>
      <c r="Q67" s="294"/>
      <c r="R67" s="294"/>
      <c r="S67" s="294"/>
      <c r="T67" s="300"/>
      <c r="U67" s="276"/>
      <c r="V67" s="302"/>
      <c r="W67" s="302"/>
      <c r="X67" s="302"/>
      <c r="Y67" s="302"/>
      <c r="Z67" s="277"/>
      <c r="AA67" s="276"/>
      <c r="AB67" s="277"/>
      <c r="AC67" s="5" t="s">
        <v>356</v>
      </c>
      <c r="AD67" s="5"/>
      <c r="AE67" s="5"/>
      <c r="AF67" s="5"/>
      <c r="AG67" s="5"/>
      <c r="AH67" s="19"/>
    </row>
    <row r="68" spans="1:34" x14ac:dyDescent="0.3">
      <c r="A68" s="337"/>
      <c r="B68" s="363"/>
      <c r="C68" s="305"/>
      <c r="D68" s="275"/>
      <c r="E68" s="282"/>
      <c r="F68" s="379"/>
      <c r="G68" s="5" t="s">
        <v>127</v>
      </c>
      <c r="H68" s="5">
        <v>368</v>
      </c>
      <c r="I68" s="285"/>
      <c r="J68" s="5" t="s">
        <v>76</v>
      </c>
      <c r="K68" s="5"/>
      <c r="L68" s="294"/>
      <c r="M68" s="285"/>
      <c r="N68" s="294"/>
      <c r="O68" s="282"/>
      <c r="P68" s="235"/>
      <c r="Q68" s="294"/>
      <c r="R68" s="294"/>
      <c r="S68" s="294"/>
      <c r="T68" s="300"/>
      <c r="U68" s="276"/>
      <c r="V68" s="302"/>
      <c r="W68" s="302"/>
      <c r="X68" s="302"/>
      <c r="Y68" s="302"/>
      <c r="Z68" s="277"/>
      <c r="AA68" s="276"/>
      <c r="AB68" s="277"/>
      <c r="AC68" s="5"/>
      <c r="AD68" s="5"/>
      <c r="AE68" s="5"/>
      <c r="AF68" s="5"/>
      <c r="AG68" s="5"/>
      <c r="AH68" s="19"/>
    </row>
    <row r="69" spans="1:34" x14ac:dyDescent="0.3">
      <c r="A69" s="337"/>
      <c r="B69" s="363"/>
      <c r="C69" s="305"/>
      <c r="D69" s="275"/>
      <c r="E69" s="282"/>
      <c r="F69" s="379"/>
      <c r="G69" s="5" t="s">
        <v>128</v>
      </c>
      <c r="H69" s="5">
        <v>1687</v>
      </c>
      <c r="I69" s="285"/>
      <c r="J69" s="5" t="s">
        <v>129</v>
      </c>
      <c r="K69" s="5"/>
      <c r="L69" s="294"/>
      <c r="M69" s="285"/>
      <c r="N69" s="294"/>
      <c r="O69" s="282"/>
      <c r="P69" s="235"/>
      <c r="Q69" s="294"/>
      <c r="R69" s="294"/>
      <c r="S69" s="294"/>
      <c r="T69" s="300"/>
      <c r="U69" s="276"/>
      <c r="V69" s="302"/>
      <c r="W69" s="302"/>
      <c r="X69" s="302"/>
      <c r="Y69" s="302"/>
      <c r="Z69" s="277"/>
      <c r="AA69" s="276"/>
      <c r="AB69" s="277"/>
      <c r="AC69" s="5" t="s">
        <v>357</v>
      </c>
      <c r="AD69" s="5"/>
      <c r="AE69" s="5"/>
      <c r="AF69" s="5"/>
      <c r="AG69" s="5"/>
      <c r="AH69" s="19"/>
    </row>
    <row r="70" spans="1:34" x14ac:dyDescent="0.3">
      <c r="A70" s="337"/>
      <c r="B70" s="363"/>
      <c r="C70" s="305"/>
      <c r="D70" s="275"/>
      <c r="E70" s="282"/>
      <c r="F70" s="379"/>
      <c r="G70" s="5" t="s">
        <v>130</v>
      </c>
      <c r="H70" s="5">
        <v>608</v>
      </c>
      <c r="I70" s="285"/>
      <c r="J70" s="5" t="s">
        <v>131</v>
      </c>
      <c r="K70" s="5"/>
      <c r="L70" s="294"/>
      <c r="M70" s="285"/>
      <c r="N70" s="294"/>
      <c r="O70" s="282"/>
      <c r="P70" s="235"/>
      <c r="Q70" s="294"/>
      <c r="R70" s="294"/>
      <c r="S70" s="294"/>
      <c r="T70" s="300"/>
      <c r="U70" s="276"/>
      <c r="V70" s="302"/>
      <c r="W70" s="302"/>
      <c r="X70" s="302"/>
      <c r="Y70" s="302"/>
      <c r="Z70" s="277"/>
      <c r="AA70" s="276"/>
      <c r="AB70" s="277"/>
      <c r="AC70" s="5" t="s">
        <v>196</v>
      </c>
      <c r="AD70" s="5"/>
      <c r="AE70" s="5"/>
      <c r="AF70" s="5"/>
      <c r="AG70" s="5"/>
      <c r="AH70" s="19"/>
    </row>
    <row r="71" spans="1:34" x14ac:dyDescent="0.3">
      <c r="A71" s="337"/>
      <c r="B71" s="363"/>
      <c r="C71" s="305"/>
      <c r="D71" s="275"/>
      <c r="E71" s="282"/>
      <c r="F71" s="379"/>
      <c r="G71" s="5" t="s">
        <v>132</v>
      </c>
      <c r="H71" s="5">
        <v>122</v>
      </c>
      <c r="I71" s="285"/>
      <c r="J71" s="5" t="s">
        <v>133</v>
      </c>
      <c r="K71" s="5"/>
      <c r="L71" s="294"/>
      <c r="M71" s="285"/>
      <c r="N71" s="294"/>
      <c r="O71" s="282"/>
      <c r="P71" s="235"/>
      <c r="Q71" s="294"/>
      <c r="R71" s="294"/>
      <c r="S71" s="294"/>
      <c r="T71" s="300"/>
      <c r="U71" s="276"/>
      <c r="V71" s="302"/>
      <c r="W71" s="302"/>
      <c r="X71" s="302"/>
      <c r="Y71" s="302"/>
      <c r="Z71" s="277"/>
      <c r="AA71" s="276"/>
      <c r="AB71" s="277"/>
      <c r="AC71" s="5" t="s">
        <v>358</v>
      </c>
      <c r="AD71" s="5"/>
      <c r="AE71" s="5"/>
      <c r="AF71" s="5"/>
      <c r="AG71" s="5"/>
      <c r="AH71" s="19"/>
    </row>
    <row r="72" spans="1:34" ht="15" thickBot="1" x14ac:dyDescent="0.35">
      <c r="A72" s="338"/>
      <c r="B72" s="364"/>
      <c r="C72" s="340"/>
      <c r="D72" s="375"/>
      <c r="E72" s="283"/>
      <c r="F72" s="380"/>
      <c r="G72" s="6" t="s">
        <v>441</v>
      </c>
      <c r="H72" s="20"/>
      <c r="I72" s="286"/>
      <c r="J72" s="20"/>
      <c r="K72" s="20"/>
      <c r="L72" s="284"/>
      <c r="M72" s="285"/>
      <c r="N72" s="295"/>
      <c r="O72" s="234"/>
      <c r="P72" s="235"/>
      <c r="Q72" s="295"/>
      <c r="R72" s="295"/>
      <c r="S72" s="295"/>
      <c r="T72" s="301"/>
      <c r="U72" s="278"/>
      <c r="V72" s="303"/>
      <c r="W72" s="303"/>
      <c r="X72" s="303"/>
      <c r="Y72" s="303"/>
      <c r="Z72" s="279"/>
      <c r="AA72" s="278"/>
      <c r="AB72" s="279"/>
      <c r="AC72" s="21" t="s">
        <v>359</v>
      </c>
      <c r="AD72" s="21" t="s">
        <v>260</v>
      </c>
      <c r="AE72" s="21" t="s">
        <v>260</v>
      </c>
      <c r="AF72" s="21"/>
      <c r="AG72" s="21" t="s">
        <v>261</v>
      </c>
      <c r="AH72" s="22" t="s">
        <v>262</v>
      </c>
    </row>
    <row r="73" spans="1:34" ht="28.95" customHeight="1" x14ac:dyDescent="0.3">
      <c r="B73" s="336" t="s">
        <v>169</v>
      </c>
      <c r="C73" s="339" t="s">
        <v>6</v>
      </c>
      <c r="D73" s="359" t="s">
        <v>8</v>
      </c>
      <c r="E73" s="289" t="s">
        <v>12</v>
      </c>
      <c r="F73" s="412" t="s">
        <v>11</v>
      </c>
      <c r="G73" s="3" t="s">
        <v>75</v>
      </c>
      <c r="H73" s="15" t="s">
        <v>371</v>
      </c>
      <c r="I73" s="407" t="s">
        <v>1058</v>
      </c>
      <c r="J73" s="15" t="s">
        <v>76</v>
      </c>
      <c r="K73" s="15" t="s">
        <v>414</v>
      </c>
      <c r="L73" s="270" t="s">
        <v>1030</v>
      </c>
      <c r="M73" s="268" t="s">
        <v>845</v>
      </c>
      <c r="N73" s="411" t="s">
        <v>1039</v>
      </c>
      <c r="O73" s="304" t="s">
        <v>1089</v>
      </c>
      <c r="P73" s="270" t="s">
        <v>1000</v>
      </c>
      <c r="Q73" s="411" t="s">
        <v>1042</v>
      </c>
      <c r="R73" s="411" t="s">
        <v>1043</v>
      </c>
      <c r="S73" s="411" t="s">
        <v>996</v>
      </c>
      <c r="T73" s="412" t="s">
        <v>1092</v>
      </c>
      <c r="U73" s="15" t="s">
        <v>150</v>
      </c>
      <c r="V73" s="15" t="s">
        <v>150</v>
      </c>
      <c r="W73" s="15" t="s">
        <v>150</v>
      </c>
      <c r="X73" s="15" t="s">
        <v>150</v>
      </c>
      <c r="Y73" s="15" t="s">
        <v>150</v>
      </c>
      <c r="Z73" s="15" t="s">
        <v>150</v>
      </c>
      <c r="AA73" s="420" t="s">
        <v>668</v>
      </c>
      <c r="AB73" s="421"/>
      <c r="AC73" s="16" t="s">
        <v>443</v>
      </c>
      <c r="AD73" s="15" t="s">
        <v>444</v>
      </c>
      <c r="AE73" s="15" t="s">
        <v>445</v>
      </c>
      <c r="AF73" s="15"/>
      <c r="AG73" s="15" t="s">
        <v>446</v>
      </c>
      <c r="AH73" s="17" t="s">
        <v>447</v>
      </c>
    </row>
    <row r="74" spans="1:34" x14ac:dyDescent="0.3">
      <c r="B74" s="337"/>
      <c r="C74" s="305"/>
      <c r="D74" s="275"/>
      <c r="E74" s="271"/>
      <c r="F74" s="413"/>
      <c r="G74" s="3" t="s">
        <v>77</v>
      </c>
      <c r="H74" s="3" t="s">
        <v>372</v>
      </c>
      <c r="I74" s="232"/>
      <c r="J74" s="3" t="s">
        <v>76</v>
      </c>
      <c r="K74" s="3" t="s">
        <v>415</v>
      </c>
      <c r="L74" s="270"/>
      <c r="M74" s="268"/>
      <c r="N74" s="270"/>
      <c r="O74" s="268"/>
      <c r="P74" s="270"/>
      <c r="Q74" s="270"/>
      <c r="R74" s="270"/>
      <c r="S74" s="270"/>
      <c r="T74" s="413"/>
      <c r="U74" s="3" t="s">
        <v>150</v>
      </c>
      <c r="V74" s="3" t="s">
        <v>150</v>
      </c>
      <c r="W74" s="3" t="s">
        <v>150</v>
      </c>
      <c r="X74" s="3" t="s">
        <v>150</v>
      </c>
      <c r="Y74" s="3" t="s">
        <v>150</v>
      </c>
      <c r="Z74" s="3" t="s">
        <v>150</v>
      </c>
      <c r="AA74" s="422"/>
      <c r="AB74" s="423"/>
      <c r="AC74" s="4" t="s">
        <v>448</v>
      </c>
      <c r="AD74" s="3" t="s">
        <v>449</v>
      </c>
      <c r="AE74" s="3" t="s">
        <v>450</v>
      </c>
      <c r="AF74" s="3"/>
      <c r="AG74" s="3" t="s">
        <v>451</v>
      </c>
      <c r="AH74" s="18" t="s">
        <v>187</v>
      </c>
    </row>
    <row r="75" spans="1:34" x14ac:dyDescent="0.3">
      <c r="B75" s="337"/>
      <c r="C75" s="305"/>
      <c r="D75" s="275"/>
      <c r="E75" s="271"/>
      <c r="F75" s="413"/>
      <c r="G75" s="3" t="s">
        <v>361</v>
      </c>
      <c r="H75" s="3" t="s">
        <v>373</v>
      </c>
      <c r="I75" s="232"/>
      <c r="J75" s="3" t="s">
        <v>76</v>
      </c>
      <c r="K75" s="3" t="s">
        <v>416</v>
      </c>
      <c r="L75" s="270"/>
      <c r="M75" s="268"/>
      <c r="N75" s="270"/>
      <c r="O75" s="268"/>
      <c r="P75" s="270"/>
      <c r="Q75" s="270"/>
      <c r="R75" s="270"/>
      <c r="S75" s="270"/>
      <c r="T75" s="413"/>
      <c r="U75" s="3" t="s">
        <v>150</v>
      </c>
      <c r="V75" s="3" t="s">
        <v>150</v>
      </c>
      <c r="W75" s="3" t="s">
        <v>150</v>
      </c>
      <c r="X75" s="3" t="s">
        <v>150</v>
      </c>
      <c r="Y75" s="3" t="s">
        <v>150</v>
      </c>
      <c r="Z75" s="3" t="s">
        <v>150</v>
      </c>
      <c r="AA75" s="422"/>
      <c r="AB75" s="423"/>
      <c r="AC75" s="4" t="s">
        <v>452</v>
      </c>
      <c r="AD75" s="3" t="s">
        <v>453</v>
      </c>
      <c r="AE75" s="3" t="s">
        <v>454</v>
      </c>
      <c r="AF75" s="3"/>
      <c r="AG75" s="3" t="s">
        <v>455</v>
      </c>
      <c r="AH75" s="18" t="s">
        <v>456</v>
      </c>
    </row>
    <row r="76" spans="1:34" x14ac:dyDescent="0.3">
      <c r="B76" s="337"/>
      <c r="C76" s="305"/>
      <c r="D76" s="275"/>
      <c r="E76" s="271"/>
      <c r="F76" s="413"/>
      <c r="G76" s="3" t="s">
        <v>362</v>
      </c>
      <c r="H76" s="3" t="s">
        <v>374</v>
      </c>
      <c r="I76" s="232"/>
      <c r="J76" s="3" t="s">
        <v>375</v>
      </c>
      <c r="K76" s="3" t="s">
        <v>417</v>
      </c>
      <c r="L76" s="270"/>
      <c r="M76" s="268"/>
      <c r="N76" s="270"/>
      <c r="O76" s="268"/>
      <c r="P76" s="270"/>
      <c r="Q76" s="270"/>
      <c r="R76" s="270"/>
      <c r="S76" s="270"/>
      <c r="T76" s="413"/>
      <c r="U76" s="3" t="s">
        <v>150</v>
      </c>
      <c r="V76" s="3" t="s">
        <v>428</v>
      </c>
      <c r="W76" s="3" t="s">
        <v>150</v>
      </c>
      <c r="X76" s="3" t="s">
        <v>347</v>
      </c>
      <c r="Y76" s="3" t="s">
        <v>150</v>
      </c>
      <c r="Z76" s="3" t="s">
        <v>427</v>
      </c>
      <c r="AA76" s="422"/>
      <c r="AB76" s="423"/>
      <c r="AC76" s="4" t="s">
        <v>457</v>
      </c>
      <c r="AD76" s="3" t="s">
        <v>458</v>
      </c>
      <c r="AE76" s="3" t="s">
        <v>459</v>
      </c>
      <c r="AF76" s="3"/>
      <c r="AG76" s="3" t="s">
        <v>460</v>
      </c>
      <c r="AH76" s="18" t="s">
        <v>461</v>
      </c>
    </row>
    <row r="77" spans="1:34" x14ac:dyDescent="0.3">
      <c r="B77" s="337"/>
      <c r="C77" s="305"/>
      <c r="D77" s="275"/>
      <c r="E77" s="271"/>
      <c r="F77" s="413"/>
      <c r="G77" s="3" t="s">
        <v>80</v>
      </c>
      <c r="H77" s="3" t="s">
        <v>376</v>
      </c>
      <c r="I77" s="232"/>
      <c r="J77" s="3" t="s">
        <v>76</v>
      </c>
      <c r="K77" s="3" t="s">
        <v>418</v>
      </c>
      <c r="L77" s="270"/>
      <c r="M77" s="268"/>
      <c r="N77" s="270"/>
      <c r="O77" s="268"/>
      <c r="P77" s="270"/>
      <c r="Q77" s="270"/>
      <c r="R77" s="270"/>
      <c r="S77" s="270"/>
      <c r="T77" s="413"/>
      <c r="U77" s="3" t="s">
        <v>150</v>
      </c>
      <c r="V77" s="3" t="s">
        <v>150</v>
      </c>
      <c r="W77" s="3" t="s">
        <v>150</v>
      </c>
      <c r="X77" s="3" t="s">
        <v>150</v>
      </c>
      <c r="Y77" s="3" t="s">
        <v>150</v>
      </c>
      <c r="Z77" s="3" t="s">
        <v>150</v>
      </c>
      <c r="AA77" s="422"/>
      <c r="AB77" s="423"/>
      <c r="AC77" s="4" t="s">
        <v>462</v>
      </c>
      <c r="AD77" s="3" t="s">
        <v>463</v>
      </c>
      <c r="AE77" s="3" t="s">
        <v>464</v>
      </c>
      <c r="AF77" s="3"/>
      <c r="AG77" s="3" t="s">
        <v>465</v>
      </c>
      <c r="AH77" s="18" t="s">
        <v>466</v>
      </c>
    </row>
    <row r="78" spans="1:34" x14ac:dyDescent="0.3">
      <c r="B78" s="337"/>
      <c r="C78" s="305"/>
      <c r="D78" s="275"/>
      <c r="E78" s="271"/>
      <c r="F78" s="413"/>
      <c r="G78" s="3" t="s">
        <v>171</v>
      </c>
      <c r="H78" s="3" t="s">
        <v>377</v>
      </c>
      <c r="I78" s="232"/>
      <c r="J78" s="3" t="s">
        <v>76</v>
      </c>
      <c r="K78" s="3" t="s">
        <v>419</v>
      </c>
      <c r="L78" s="270"/>
      <c r="M78" s="268"/>
      <c r="N78" s="270"/>
      <c r="O78" s="268"/>
      <c r="P78" s="270"/>
      <c r="Q78" s="270"/>
      <c r="R78" s="270"/>
      <c r="S78" s="270"/>
      <c r="T78" s="413"/>
      <c r="U78" s="3" t="s">
        <v>150</v>
      </c>
      <c r="V78" s="3" t="s">
        <v>150</v>
      </c>
      <c r="W78" s="3" t="s">
        <v>150</v>
      </c>
      <c r="X78" s="3" t="s">
        <v>150</v>
      </c>
      <c r="Y78" s="3" t="s">
        <v>150</v>
      </c>
      <c r="Z78" s="3" t="s">
        <v>150</v>
      </c>
      <c r="AA78" s="422"/>
      <c r="AB78" s="423"/>
      <c r="AC78" s="4" t="s">
        <v>467</v>
      </c>
      <c r="AD78" s="3" t="s">
        <v>468</v>
      </c>
      <c r="AE78" s="3" t="s">
        <v>469</v>
      </c>
      <c r="AF78" s="3"/>
      <c r="AG78" s="3" t="s">
        <v>470</v>
      </c>
      <c r="AH78" s="18" t="s">
        <v>471</v>
      </c>
    </row>
    <row r="79" spans="1:34" x14ac:dyDescent="0.3">
      <c r="B79" s="337"/>
      <c r="C79" s="305"/>
      <c r="D79" s="275"/>
      <c r="E79" s="271"/>
      <c r="F79" s="413"/>
      <c r="G79" s="3" t="s">
        <v>363</v>
      </c>
      <c r="H79" s="3" t="s">
        <v>378</v>
      </c>
      <c r="I79" s="232"/>
      <c r="J79" s="3" t="s">
        <v>76</v>
      </c>
      <c r="K79" s="3" t="s">
        <v>420</v>
      </c>
      <c r="L79" s="270"/>
      <c r="M79" s="268"/>
      <c r="N79" s="270"/>
      <c r="O79" s="268"/>
      <c r="P79" s="270"/>
      <c r="Q79" s="270"/>
      <c r="R79" s="270"/>
      <c r="S79" s="270"/>
      <c r="T79" s="413"/>
      <c r="U79" s="3" t="s">
        <v>150</v>
      </c>
      <c r="V79" s="3" t="s">
        <v>150</v>
      </c>
      <c r="W79" s="3" t="s">
        <v>150</v>
      </c>
      <c r="X79" s="3" t="s">
        <v>150</v>
      </c>
      <c r="Y79" s="3" t="s">
        <v>150</v>
      </c>
      <c r="Z79" s="3" t="s">
        <v>150</v>
      </c>
      <c r="AA79" s="422"/>
      <c r="AB79" s="423"/>
      <c r="AC79" s="4" t="s">
        <v>472</v>
      </c>
      <c r="AD79" s="3" t="s">
        <v>473</v>
      </c>
      <c r="AE79" s="3" t="s">
        <v>473</v>
      </c>
      <c r="AF79" s="3"/>
      <c r="AG79" s="3" t="s">
        <v>473</v>
      </c>
      <c r="AH79" s="18" t="s">
        <v>473</v>
      </c>
    </row>
    <row r="80" spans="1:34" x14ac:dyDescent="0.3">
      <c r="B80" s="337"/>
      <c r="C80" s="305"/>
      <c r="D80" s="275"/>
      <c r="E80" s="271"/>
      <c r="F80" s="413"/>
      <c r="G80" s="3" t="s">
        <v>83</v>
      </c>
      <c r="H80" s="3" t="s">
        <v>379</v>
      </c>
      <c r="I80" s="232"/>
      <c r="J80" s="3" t="s">
        <v>76</v>
      </c>
      <c r="K80" s="3" t="s">
        <v>417</v>
      </c>
      <c r="L80" s="270"/>
      <c r="M80" s="268"/>
      <c r="N80" s="270"/>
      <c r="O80" s="268"/>
      <c r="P80" s="270"/>
      <c r="Q80" s="270"/>
      <c r="R80" s="270"/>
      <c r="S80" s="270"/>
      <c r="T80" s="413"/>
      <c r="U80" s="3" t="s">
        <v>150</v>
      </c>
      <c r="V80" s="3" t="s">
        <v>150</v>
      </c>
      <c r="W80" s="3" t="s">
        <v>150</v>
      </c>
      <c r="X80" s="3" t="s">
        <v>150</v>
      </c>
      <c r="Y80" s="3" t="s">
        <v>150</v>
      </c>
      <c r="Z80" s="3" t="s">
        <v>150</v>
      </c>
      <c r="AA80" s="422"/>
      <c r="AB80" s="423"/>
      <c r="AC80" s="4" t="s">
        <v>474</v>
      </c>
      <c r="AD80" s="3" t="s">
        <v>475</v>
      </c>
      <c r="AE80" s="3" t="s">
        <v>476</v>
      </c>
      <c r="AF80" s="3"/>
      <c r="AG80" s="3" t="s">
        <v>473</v>
      </c>
      <c r="AH80" s="18" t="s">
        <v>473</v>
      </c>
    </row>
    <row r="81" spans="2:34" x14ac:dyDescent="0.3">
      <c r="B81" s="337"/>
      <c r="C81" s="305"/>
      <c r="D81" s="275"/>
      <c r="E81" s="271"/>
      <c r="F81" s="413"/>
      <c r="G81" s="3" t="s">
        <v>85</v>
      </c>
      <c r="H81" s="3" t="s">
        <v>380</v>
      </c>
      <c r="I81" s="232"/>
      <c r="J81" s="3" t="s">
        <v>76</v>
      </c>
      <c r="K81" s="3" t="s">
        <v>421</v>
      </c>
      <c r="L81" s="270"/>
      <c r="M81" s="268"/>
      <c r="N81" s="270"/>
      <c r="O81" s="268"/>
      <c r="P81" s="270"/>
      <c r="Q81" s="270"/>
      <c r="R81" s="270"/>
      <c r="S81" s="270"/>
      <c r="T81" s="413"/>
      <c r="U81" s="3" t="s">
        <v>150</v>
      </c>
      <c r="V81" s="3" t="s">
        <v>150</v>
      </c>
      <c r="W81" s="3" t="s">
        <v>150</v>
      </c>
      <c r="X81" s="3" t="s">
        <v>150</v>
      </c>
      <c r="Y81" s="3" t="s">
        <v>150</v>
      </c>
      <c r="Z81" s="3" t="s">
        <v>150</v>
      </c>
      <c r="AA81" s="422"/>
      <c r="AB81" s="423"/>
      <c r="AC81" s="4" t="s">
        <v>477</v>
      </c>
      <c r="AD81" s="3" t="s">
        <v>478</v>
      </c>
      <c r="AE81" s="3" t="s">
        <v>479</v>
      </c>
      <c r="AF81" s="3"/>
      <c r="AG81" s="3" t="s">
        <v>480</v>
      </c>
      <c r="AH81" s="18" t="s">
        <v>481</v>
      </c>
    </row>
    <row r="82" spans="2:34" x14ac:dyDescent="0.3">
      <c r="B82" s="337"/>
      <c r="C82" s="305"/>
      <c r="D82" s="275"/>
      <c r="E82" s="271"/>
      <c r="F82" s="413"/>
      <c r="G82" s="3" t="s">
        <v>86</v>
      </c>
      <c r="H82" s="3" t="s">
        <v>381</v>
      </c>
      <c r="I82" s="232"/>
      <c r="J82" s="3" t="s">
        <v>76</v>
      </c>
      <c r="K82" s="3" t="s">
        <v>422</v>
      </c>
      <c r="L82" s="270"/>
      <c r="M82" s="268"/>
      <c r="N82" s="270"/>
      <c r="O82" s="268"/>
      <c r="P82" s="270"/>
      <c r="Q82" s="270"/>
      <c r="R82" s="270"/>
      <c r="S82" s="270"/>
      <c r="T82" s="413"/>
      <c r="U82" s="3" t="s">
        <v>150</v>
      </c>
      <c r="V82" s="3" t="s">
        <v>150</v>
      </c>
      <c r="W82" s="3" t="s">
        <v>150</v>
      </c>
      <c r="X82" s="3" t="s">
        <v>150</v>
      </c>
      <c r="Y82" s="3" t="s">
        <v>150</v>
      </c>
      <c r="Z82" s="3" t="s">
        <v>150</v>
      </c>
      <c r="AA82" s="422"/>
      <c r="AB82" s="423"/>
      <c r="AC82" s="4" t="s">
        <v>482</v>
      </c>
      <c r="AD82" s="3" t="s">
        <v>483</v>
      </c>
      <c r="AE82" s="3" t="s">
        <v>484</v>
      </c>
      <c r="AF82" s="3"/>
      <c r="AG82" s="3" t="s">
        <v>485</v>
      </c>
      <c r="AH82" s="18" t="s">
        <v>486</v>
      </c>
    </row>
    <row r="83" spans="2:34" x14ac:dyDescent="0.3">
      <c r="B83" s="337"/>
      <c r="C83" s="305"/>
      <c r="D83" s="275"/>
      <c r="E83" s="271"/>
      <c r="F83" s="413"/>
      <c r="G83" s="3" t="s">
        <v>87</v>
      </c>
      <c r="H83" s="3" t="s">
        <v>382</v>
      </c>
      <c r="I83" s="232"/>
      <c r="J83" s="3" t="s">
        <v>76</v>
      </c>
      <c r="K83" s="3" t="s">
        <v>421</v>
      </c>
      <c r="L83" s="270"/>
      <c r="M83" s="268"/>
      <c r="N83" s="270"/>
      <c r="O83" s="268"/>
      <c r="P83" s="270"/>
      <c r="Q83" s="270"/>
      <c r="R83" s="270"/>
      <c r="S83" s="270"/>
      <c r="T83" s="413"/>
      <c r="U83" s="3" t="s">
        <v>150</v>
      </c>
      <c r="V83" s="3" t="s">
        <v>150</v>
      </c>
      <c r="W83" s="3" t="s">
        <v>150</v>
      </c>
      <c r="X83" s="3" t="s">
        <v>150</v>
      </c>
      <c r="Y83" s="3" t="s">
        <v>150</v>
      </c>
      <c r="Z83" s="3" t="s">
        <v>150</v>
      </c>
      <c r="AA83" s="422"/>
      <c r="AB83" s="423"/>
      <c r="AC83" s="4" t="s">
        <v>487</v>
      </c>
      <c r="AD83" s="3" t="s">
        <v>488</v>
      </c>
      <c r="AE83" s="3" t="s">
        <v>489</v>
      </c>
      <c r="AF83" s="3"/>
      <c r="AG83" s="3" t="s">
        <v>490</v>
      </c>
      <c r="AH83" s="18" t="s">
        <v>491</v>
      </c>
    </row>
    <row r="84" spans="2:34" x14ac:dyDescent="0.3">
      <c r="B84" s="337"/>
      <c r="C84" s="305"/>
      <c r="D84" s="275"/>
      <c r="E84" s="271"/>
      <c r="F84" s="413"/>
      <c r="G84" s="3" t="s">
        <v>88</v>
      </c>
      <c r="H84" s="3" t="s">
        <v>383</v>
      </c>
      <c r="I84" s="232"/>
      <c r="J84" s="3" t="s">
        <v>76</v>
      </c>
      <c r="K84" s="3" t="s">
        <v>90</v>
      </c>
      <c r="L84" s="270"/>
      <c r="M84" s="268"/>
      <c r="N84" s="270"/>
      <c r="O84" s="268"/>
      <c r="P84" s="270"/>
      <c r="Q84" s="270"/>
      <c r="R84" s="270"/>
      <c r="S84" s="270"/>
      <c r="T84" s="413"/>
      <c r="U84" s="3" t="s">
        <v>150</v>
      </c>
      <c r="V84" s="3" t="s">
        <v>150</v>
      </c>
      <c r="W84" s="3" t="s">
        <v>150</v>
      </c>
      <c r="X84" s="3" t="s">
        <v>150</v>
      </c>
      <c r="Y84" s="3" t="s">
        <v>150</v>
      </c>
      <c r="Z84" s="3" t="s">
        <v>150</v>
      </c>
      <c r="AA84" s="422"/>
      <c r="AB84" s="423"/>
      <c r="AC84" s="4" t="s">
        <v>492</v>
      </c>
      <c r="AD84" s="3" t="s">
        <v>187</v>
      </c>
      <c r="AE84" s="3" t="s">
        <v>275</v>
      </c>
      <c r="AF84" s="3"/>
      <c r="AG84" s="3" t="s">
        <v>493</v>
      </c>
      <c r="AH84" s="18" t="s">
        <v>461</v>
      </c>
    </row>
    <row r="85" spans="2:34" x14ac:dyDescent="0.3">
      <c r="B85" s="337"/>
      <c r="C85" s="305"/>
      <c r="D85" s="275"/>
      <c r="E85" s="271"/>
      <c r="F85" s="413"/>
      <c r="G85" s="3" t="s">
        <v>91</v>
      </c>
      <c r="H85" s="3" t="s">
        <v>384</v>
      </c>
      <c r="I85" s="232"/>
      <c r="J85" s="3" t="s">
        <v>76</v>
      </c>
      <c r="K85" s="3" t="s">
        <v>93</v>
      </c>
      <c r="L85" s="270"/>
      <c r="M85" s="268"/>
      <c r="N85" s="270"/>
      <c r="O85" s="268"/>
      <c r="P85" s="270"/>
      <c r="Q85" s="270"/>
      <c r="R85" s="270"/>
      <c r="S85" s="270"/>
      <c r="T85" s="413"/>
      <c r="U85" s="3" t="s">
        <v>150</v>
      </c>
      <c r="V85" s="3" t="s">
        <v>150</v>
      </c>
      <c r="W85" s="3" t="s">
        <v>150</v>
      </c>
      <c r="X85" s="3" t="s">
        <v>150</v>
      </c>
      <c r="Y85" s="3" t="s">
        <v>150</v>
      </c>
      <c r="Z85" s="3" t="s">
        <v>150</v>
      </c>
      <c r="AA85" s="422"/>
      <c r="AB85" s="423"/>
      <c r="AC85" s="4" t="s">
        <v>226</v>
      </c>
      <c r="AD85" s="3" t="s">
        <v>494</v>
      </c>
      <c r="AE85" s="3" t="s">
        <v>495</v>
      </c>
      <c r="AF85" s="3"/>
      <c r="AG85" s="3" t="s">
        <v>496</v>
      </c>
      <c r="AH85" s="18" t="s">
        <v>497</v>
      </c>
    </row>
    <row r="86" spans="2:34" x14ac:dyDescent="0.3">
      <c r="B86" s="337"/>
      <c r="C86" s="305"/>
      <c r="D86" s="275"/>
      <c r="E86" s="271"/>
      <c r="F86" s="413"/>
      <c r="G86" s="3" t="s">
        <v>94</v>
      </c>
      <c r="H86" s="3" t="s">
        <v>385</v>
      </c>
      <c r="I86" s="232"/>
      <c r="J86" s="3" t="s">
        <v>76</v>
      </c>
      <c r="K86" s="3" t="s">
        <v>90</v>
      </c>
      <c r="L86" s="270"/>
      <c r="M86" s="268"/>
      <c r="N86" s="270"/>
      <c r="O86" s="268"/>
      <c r="P86" s="270"/>
      <c r="Q86" s="270"/>
      <c r="R86" s="270"/>
      <c r="S86" s="270"/>
      <c r="T86" s="413"/>
      <c r="U86" s="3" t="s">
        <v>150</v>
      </c>
      <c r="V86" s="3" t="s">
        <v>150</v>
      </c>
      <c r="W86" s="3" t="s">
        <v>150</v>
      </c>
      <c r="X86" s="3" t="s">
        <v>150</v>
      </c>
      <c r="Y86" s="3" t="s">
        <v>150</v>
      </c>
      <c r="Z86" s="3" t="s">
        <v>150</v>
      </c>
      <c r="AA86" s="422"/>
      <c r="AB86" s="423"/>
      <c r="AC86" s="4" t="s">
        <v>498</v>
      </c>
      <c r="AD86" s="3" t="s">
        <v>499</v>
      </c>
      <c r="AE86" s="3" t="s">
        <v>500</v>
      </c>
      <c r="AF86" s="3"/>
      <c r="AG86" s="3" t="s">
        <v>501</v>
      </c>
      <c r="AH86" s="18" t="s">
        <v>502</v>
      </c>
    </row>
    <row r="87" spans="2:34" x14ac:dyDescent="0.3">
      <c r="B87" s="337"/>
      <c r="C87" s="305"/>
      <c r="D87" s="275"/>
      <c r="E87" s="271"/>
      <c r="F87" s="413"/>
      <c r="G87" s="3" t="s">
        <v>96</v>
      </c>
      <c r="H87" s="3" t="s">
        <v>385</v>
      </c>
      <c r="I87" s="232"/>
      <c r="J87" s="3" t="s">
        <v>76</v>
      </c>
      <c r="K87" s="3" t="s">
        <v>90</v>
      </c>
      <c r="L87" s="270"/>
      <c r="M87" s="268"/>
      <c r="N87" s="270"/>
      <c r="O87" s="268"/>
      <c r="P87" s="270"/>
      <c r="Q87" s="270"/>
      <c r="R87" s="270"/>
      <c r="S87" s="270"/>
      <c r="T87" s="413"/>
      <c r="U87" s="3" t="s">
        <v>150</v>
      </c>
      <c r="V87" s="3" t="s">
        <v>150</v>
      </c>
      <c r="W87" s="3" t="s">
        <v>150</v>
      </c>
      <c r="X87" s="3" t="s">
        <v>150</v>
      </c>
      <c r="Y87" s="3" t="s">
        <v>150</v>
      </c>
      <c r="Z87" s="3" t="s">
        <v>150</v>
      </c>
      <c r="AA87" s="422"/>
      <c r="AB87" s="423"/>
      <c r="AC87" s="4" t="s">
        <v>498</v>
      </c>
      <c r="AD87" s="3" t="s">
        <v>499</v>
      </c>
      <c r="AE87" s="3" t="s">
        <v>500</v>
      </c>
      <c r="AF87" s="3"/>
      <c r="AG87" s="3" t="s">
        <v>501</v>
      </c>
      <c r="AH87" s="18" t="s">
        <v>502</v>
      </c>
    </row>
    <row r="88" spans="2:34" ht="14.4" customHeight="1" x14ac:dyDescent="0.3">
      <c r="B88" s="337"/>
      <c r="C88" s="305"/>
      <c r="D88" s="275"/>
      <c r="E88" s="271"/>
      <c r="F88" s="413"/>
      <c r="G88" s="3" t="s">
        <v>172</v>
      </c>
      <c r="H88" s="3" t="s">
        <v>386</v>
      </c>
      <c r="I88" s="232"/>
      <c r="J88" s="3" t="s">
        <v>76</v>
      </c>
      <c r="K88" s="3" t="s">
        <v>93</v>
      </c>
      <c r="L88" s="270"/>
      <c r="M88" s="268"/>
      <c r="N88" s="270"/>
      <c r="O88" s="268"/>
      <c r="P88" s="270"/>
      <c r="Q88" s="270"/>
      <c r="R88" s="270"/>
      <c r="S88" s="270"/>
      <c r="T88" s="413"/>
      <c r="U88" s="3" t="s">
        <v>150</v>
      </c>
      <c r="V88" s="3" t="s">
        <v>150</v>
      </c>
      <c r="W88" s="3" t="s">
        <v>150</v>
      </c>
      <c r="X88" s="3" t="s">
        <v>150</v>
      </c>
      <c r="Y88" s="3" t="s">
        <v>150</v>
      </c>
      <c r="Z88" s="3" t="s">
        <v>150</v>
      </c>
      <c r="AA88" s="422"/>
      <c r="AB88" s="423"/>
      <c r="AC88" s="4" t="s">
        <v>503</v>
      </c>
      <c r="AD88" s="3" t="s">
        <v>220</v>
      </c>
      <c r="AE88" s="3" t="s">
        <v>504</v>
      </c>
      <c r="AF88" s="3"/>
      <c r="AG88" s="3" t="s">
        <v>505</v>
      </c>
      <c r="AH88" s="18" t="s">
        <v>506</v>
      </c>
    </row>
    <row r="89" spans="2:34" x14ac:dyDescent="0.3">
      <c r="B89" s="337"/>
      <c r="C89" s="305"/>
      <c r="D89" s="275"/>
      <c r="E89" s="271"/>
      <c r="F89" s="413"/>
      <c r="G89" s="3" t="s">
        <v>99</v>
      </c>
      <c r="H89" s="3" t="s">
        <v>387</v>
      </c>
      <c r="I89" s="232"/>
      <c r="J89" s="3" t="s">
        <v>76</v>
      </c>
      <c r="K89" s="3" t="s">
        <v>90</v>
      </c>
      <c r="L89" s="270"/>
      <c r="M89" s="268"/>
      <c r="N89" s="270"/>
      <c r="O89" s="268"/>
      <c r="P89" s="270"/>
      <c r="Q89" s="270"/>
      <c r="R89" s="270"/>
      <c r="S89" s="270"/>
      <c r="T89" s="413"/>
      <c r="U89" s="3" t="s">
        <v>150</v>
      </c>
      <c r="V89" s="3" t="s">
        <v>150</v>
      </c>
      <c r="W89" s="3" t="s">
        <v>150</v>
      </c>
      <c r="X89" s="3" t="s">
        <v>150</v>
      </c>
      <c r="Y89" s="3" t="s">
        <v>150</v>
      </c>
      <c r="Z89" s="3" t="s">
        <v>150</v>
      </c>
      <c r="AA89" s="422"/>
      <c r="AB89" s="423"/>
      <c r="AC89" s="4" t="s">
        <v>507</v>
      </c>
      <c r="AD89" s="3" t="s">
        <v>508</v>
      </c>
      <c r="AE89" s="3" t="s">
        <v>509</v>
      </c>
      <c r="AF89" s="3"/>
      <c r="AG89" s="3" t="s">
        <v>510</v>
      </c>
      <c r="AH89" s="18" t="s">
        <v>511</v>
      </c>
    </row>
    <row r="90" spans="2:34" x14ac:dyDescent="0.3">
      <c r="B90" s="337"/>
      <c r="C90" s="305"/>
      <c r="D90" s="275"/>
      <c r="E90" s="271"/>
      <c r="F90" s="413"/>
      <c r="G90" s="3" t="s">
        <v>101</v>
      </c>
      <c r="H90" s="3" t="s">
        <v>388</v>
      </c>
      <c r="I90" s="232"/>
      <c r="J90" s="3" t="s">
        <v>76</v>
      </c>
      <c r="K90" s="3" t="s">
        <v>423</v>
      </c>
      <c r="L90" s="270"/>
      <c r="M90" s="268"/>
      <c r="N90" s="270"/>
      <c r="O90" s="268"/>
      <c r="P90" s="270"/>
      <c r="Q90" s="270"/>
      <c r="R90" s="270"/>
      <c r="S90" s="270"/>
      <c r="T90" s="413"/>
      <c r="U90" s="3" t="s">
        <v>150</v>
      </c>
      <c r="V90" s="3" t="s">
        <v>150</v>
      </c>
      <c r="W90" s="3" t="s">
        <v>150</v>
      </c>
      <c r="X90" s="3" t="s">
        <v>150</v>
      </c>
      <c r="Y90" s="3" t="s">
        <v>150</v>
      </c>
      <c r="Z90" s="3" t="s">
        <v>150</v>
      </c>
      <c r="AA90" s="422"/>
      <c r="AB90" s="423"/>
      <c r="AC90" s="4" t="s">
        <v>512</v>
      </c>
      <c r="AD90" s="3" t="s">
        <v>451</v>
      </c>
      <c r="AE90" s="3" t="s">
        <v>513</v>
      </c>
      <c r="AF90" s="3"/>
      <c r="AG90" s="3" t="s">
        <v>514</v>
      </c>
      <c r="AH90" s="18" t="s">
        <v>515</v>
      </c>
    </row>
    <row r="91" spans="2:34" x14ac:dyDescent="0.3">
      <c r="B91" s="337"/>
      <c r="C91" s="305"/>
      <c r="D91" s="275"/>
      <c r="E91" s="271"/>
      <c r="F91" s="413"/>
      <c r="G91" s="3" t="s">
        <v>103</v>
      </c>
      <c r="H91" s="3" t="s">
        <v>389</v>
      </c>
      <c r="I91" s="232"/>
      <c r="J91" s="3" t="s">
        <v>76</v>
      </c>
      <c r="K91" s="3" t="s">
        <v>93</v>
      </c>
      <c r="L91" s="270"/>
      <c r="M91" s="268"/>
      <c r="N91" s="270"/>
      <c r="O91" s="268"/>
      <c r="P91" s="270"/>
      <c r="Q91" s="270"/>
      <c r="R91" s="270"/>
      <c r="S91" s="270"/>
      <c r="T91" s="413"/>
      <c r="U91" s="3" t="s">
        <v>150</v>
      </c>
      <c r="V91" s="3" t="s">
        <v>150</v>
      </c>
      <c r="W91" s="3" t="s">
        <v>150</v>
      </c>
      <c r="X91" s="3" t="s">
        <v>150</v>
      </c>
      <c r="Y91" s="3" t="s">
        <v>150</v>
      </c>
      <c r="Z91" s="3" t="s">
        <v>150</v>
      </c>
      <c r="AA91" s="422"/>
      <c r="AB91" s="423"/>
      <c r="AC91" s="4" t="s">
        <v>516</v>
      </c>
      <c r="AD91" s="3" t="s">
        <v>473</v>
      </c>
      <c r="AE91" s="3" t="s">
        <v>473</v>
      </c>
      <c r="AF91" s="3"/>
      <c r="AG91" s="3" t="s">
        <v>517</v>
      </c>
      <c r="AH91" s="18" t="s">
        <v>518</v>
      </c>
    </row>
    <row r="92" spans="2:34" x14ac:dyDescent="0.3">
      <c r="B92" s="337"/>
      <c r="C92" s="305"/>
      <c r="D92" s="275"/>
      <c r="E92" s="271"/>
      <c r="F92" s="413"/>
      <c r="G92" s="3" t="s">
        <v>105</v>
      </c>
      <c r="H92" s="3" t="s">
        <v>390</v>
      </c>
      <c r="I92" s="232"/>
      <c r="J92" s="3" t="s">
        <v>76</v>
      </c>
      <c r="K92" s="3" t="s">
        <v>93</v>
      </c>
      <c r="L92" s="270"/>
      <c r="M92" s="268"/>
      <c r="N92" s="270"/>
      <c r="O92" s="268"/>
      <c r="P92" s="270"/>
      <c r="Q92" s="270"/>
      <c r="R92" s="270"/>
      <c r="S92" s="270"/>
      <c r="T92" s="413"/>
      <c r="U92" s="3" t="s">
        <v>150</v>
      </c>
      <c r="V92" s="3" t="s">
        <v>150</v>
      </c>
      <c r="W92" s="3" t="s">
        <v>150</v>
      </c>
      <c r="X92" s="3" t="s">
        <v>150</v>
      </c>
      <c r="Y92" s="3" t="s">
        <v>150</v>
      </c>
      <c r="Z92" s="3" t="s">
        <v>150</v>
      </c>
      <c r="AA92" s="422"/>
      <c r="AB92" s="423"/>
      <c r="AC92" s="4" t="s">
        <v>519</v>
      </c>
      <c r="AD92" s="3" t="s">
        <v>520</v>
      </c>
      <c r="AE92" s="3" t="s">
        <v>521</v>
      </c>
      <c r="AF92" s="3"/>
      <c r="AG92" s="3" t="s">
        <v>522</v>
      </c>
      <c r="AH92" s="18" t="s">
        <v>523</v>
      </c>
    </row>
    <row r="93" spans="2:34" x14ac:dyDescent="0.3">
      <c r="B93" s="337"/>
      <c r="C93" s="305"/>
      <c r="D93" s="275"/>
      <c r="E93" s="271"/>
      <c r="F93" s="413"/>
      <c r="G93" s="3" t="s">
        <v>107</v>
      </c>
      <c r="H93" s="3" t="s">
        <v>391</v>
      </c>
      <c r="I93" s="232"/>
      <c r="J93" s="3" t="s">
        <v>76</v>
      </c>
      <c r="K93" s="3" t="s">
        <v>93</v>
      </c>
      <c r="L93" s="270" t="s">
        <v>1032</v>
      </c>
      <c r="M93" s="268"/>
      <c r="N93" s="270"/>
      <c r="O93" s="268"/>
      <c r="P93" s="270" t="s">
        <v>999</v>
      </c>
      <c r="Q93" s="270"/>
      <c r="R93" s="270"/>
      <c r="S93" s="270"/>
      <c r="T93" s="413"/>
      <c r="U93" s="3" t="s">
        <v>150</v>
      </c>
      <c r="V93" s="3" t="s">
        <v>150</v>
      </c>
      <c r="W93" s="3" t="s">
        <v>150</v>
      </c>
      <c r="X93" s="3" t="s">
        <v>150</v>
      </c>
      <c r="Y93" s="3" t="s">
        <v>150</v>
      </c>
      <c r="Z93" s="3" t="s">
        <v>150</v>
      </c>
      <c r="AA93" s="422"/>
      <c r="AB93" s="423"/>
      <c r="AC93" s="4" t="s">
        <v>524</v>
      </c>
      <c r="AD93" s="3" t="s">
        <v>473</v>
      </c>
      <c r="AE93" s="3" t="s">
        <v>473</v>
      </c>
      <c r="AF93" s="3"/>
      <c r="AG93" s="3" t="s">
        <v>525</v>
      </c>
      <c r="AH93" s="18" t="s">
        <v>526</v>
      </c>
    </row>
    <row r="94" spans="2:34" x14ac:dyDescent="0.3">
      <c r="B94" s="337"/>
      <c r="C94" s="305"/>
      <c r="D94" s="275"/>
      <c r="E94" s="271"/>
      <c r="F94" s="413"/>
      <c r="G94" s="3" t="s">
        <v>151</v>
      </c>
      <c r="H94" s="3" t="s">
        <v>392</v>
      </c>
      <c r="I94" s="232"/>
      <c r="J94" s="3" t="s">
        <v>393</v>
      </c>
      <c r="K94" s="3" t="s">
        <v>93</v>
      </c>
      <c r="L94" s="270"/>
      <c r="M94" s="268"/>
      <c r="N94" s="270"/>
      <c r="O94" s="268"/>
      <c r="P94" s="270"/>
      <c r="Q94" s="270"/>
      <c r="R94" s="270"/>
      <c r="S94" s="270"/>
      <c r="T94" s="413"/>
      <c r="U94" s="3" t="s">
        <v>150</v>
      </c>
      <c r="V94" s="3" t="s">
        <v>150</v>
      </c>
      <c r="W94" s="3" t="s">
        <v>150</v>
      </c>
      <c r="X94" s="3" t="s">
        <v>150</v>
      </c>
      <c r="Y94" s="3" t="s">
        <v>150</v>
      </c>
      <c r="Z94" s="3" t="s">
        <v>150</v>
      </c>
      <c r="AA94" s="422"/>
      <c r="AB94" s="423"/>
      <c r="AC94" s="4" t="s">
        <v>527</v>
      </c>
      <c r="AD94" s="3" t="s">
        <v>473</v>
      </c>
      <c r="AE94" s="3" t="s">
        <v>473</v>
      </c>
      <c r="AF94" s="3"/>
      <c r="AG94" s="3" t="s">
        <v>528</v>
      </c>
      <c r="AH94" s="18" t="s">
        <v>529</v>
      </c>
    </row>
    <row r="95" spans="2:34" x14ac:dyDescent="0.3">
      <c r="B95" s="337"/>
      <c r="C95" s="305"/>
      <c r="D95" s="275"/>
      <c r="E95" s="271"/>
      <c r="F95" s="413"/>
      <c r="G95" s="3" t="s">
        <v>364</v>
      </c>
      <c r="H95" s="3" t="s">
        <v>394</v>
      </c>
      <c r="I95" s="232"/>
      <c r="J95" s="3" t="s">
        <v>76</v>
      </c>
      <c r="K95" s="3" t="s">
        <v>93</v>
      </c>
      <c r="L95" s="270"/>
      <c r="M95" s="268"/>
      <c r="N95" s="270"/>
      <c r="O95" s="268"/>
      <c r="P95" s="270"/>
      <c r="Q95" s="270"/>
      <c r="R95" s="270"/>
      <c r="S95" s="270"/>
      <c r="T95" s="413"/>
      <c r="U95" s="3" t="s">
        <v>150</v>
      </c>
      <c r="V95" s="3" t="s">
        <v>150</v>
      </c>
      <c r="W95" s="3" t="s">
        <v>150</v>
      </c>
      <c r="X95" s="3" t="s">
        <v>150</v>
      </c>
      <c r="Y95" s="3" t="s">
        <v>150</v>
      </c>
      <c r="Z95" s="3" t="s">
        <v>150</v>
      </c>
      <c r="AA95" s="422"/>
      <c r="AB95" s="423"/>
      <c r="AC95" s="4" t="s">
        <v>508</v>
      </c>
      <c r="AD95" s="3" t="s">
        <v>473</v>
      </c>
      <c r="AE95" s="3" t="s">
        <v>473</v>
      </c>
      <c r="AF95" s="3"/>
      <c r="AG95" s="3" t="s">
        <v>473</v>
      </c>
      <c r="AH95" s="18" t="s">
        <v>473</v>
      </c>
    </row>
    <row r="96" spans="2:34" x14ac:dyDescent="0.3">
      <c r="B96" s="337"/>
      <c r="C96" s="305"/>
      <c r="D96" s="275"/>
      <c r="E96" s="271"/>
      <c r="F96" s="413"/>
      <c r="G96" s="3" t="s">
        <v>113</v>
      </c>
      <c r="H96" s="3" t="s">
        <v>395</v>
      </c>
      <c r="I96" s="232"/>
      <c r="J96" s="3" t="s">
        <v>76</v>
      </c>
      <c r="K96" s="3" t="s">
        <v>93</v>
      </c>
      <c r="L96" s="270"/>
      <c r="M96" s="268"/>
      <c r="N96" s="270"/>
      <c r="O96" s="268"/>
      <c r="P96" s="270"/>
      <c r="Q96" s="270"/>
      <c r="R96" s="270"/>
      <c r="S96" s="270"/>
      <c r="T96" s="413"/>
      <c r="U96" s="3" t="s">
        <v>150</v>
      </c>
      <c r="V96" s="3" t="s">
        <v>150</v>
      </c>
      <c r="W96" s="3" t="s">
        <v>150</v>
      </c>
      <c r="X96" s="3" t="s">
        <v>150</v>
      </c>
      <c r="Y96" s="3" t="s">
        <v>150</v>
      </c>
      <c r="Z96" s="3" t="s">
        <v>150</v>
      </c>
      <c r="AA96" s="422"/>
      <c r="AB96" s="423"/>
      <c r="AC96" s="4" t="s">
        <v>530</v>
      </c>
      <c r="AD96" s="3" t="s">
        <v>473</v>
      </c>
      <c r="AE96" s="3" t="s">
        <v>473</v>
      </c>
      <c r="AF96" s="3"/>
      <c r="AG96" s="3" t="s">
        <v>531</v>
      </c>
      <c r="AH96" s="18" t="s">
        <v>532</v>
      </c>
    </row>
    <row r="97" spans="2:34" x14ac:dyDescent="0.3">
      <c r="B97" s="337"/>
      <c r="C97" s="305"/>
      <c r="D97" s="275"/>
      <c r="E97" s="271"/>
      <c r="F97" s="413"/>
      <c r="G97" s="3" t="s">
        <v>115</v>
      </c>
      <c r="H97" s="3" t="s">
        <v>160</v>
      </c>
      <c r="I97" s="232"/>
      <c r="J97" s="3" t="s">
        <v>76</v>
      </c>
      <c r="K97" s="3" t="s">
        <v>423</v>
      </c>
      <c r="L97" s="270"/>
      <c r="M97" s="268"/>
      <c r="N97" s="270"/>
      <c r="O97" s="268"/>
      <c r="P97" s="270"/>
      <c r="Q97" s="270"/>
      <c r="R97" s="270"/>
      <c r="S97" s="270"/>
      <c r="T97" s="413"/>
      <c r="U97" s="3" t="s">
        <v>150</v>
      </c>
      <c r="V97" s="3" t="s">
        <v>150</v>
      </c>
      <c r="W97" s="3" t="s">
        <v>150</v>
      </c>
      <c r="X97" s="3" t="s">
        <v>150</v>
      </c>
      <c r="Y97" s="3" t="s">
        <v>150</v>
      </c>
      <c r="Z97" s="3" t="s">
        <v>150</v>
      </c>
      <c r="AA97" s="422"/>
      <c r="AB97" s="423"/>
      <c r="AC97" s="4" t="s">
        <v>533</v>
      </c>
      <c r="AD97" s="3" t="s">
        <v>534</v>
      </c>
      <c r="AE97" s="3" t="s">
        <v>535</v>
      </c>
      <c r="AF97" s="3"/>
      <c r="AG97" s="3" t="s">
        <v>536</v>
      </c>
      <c r="AH97" s="18" t="s">
        <v>537</v>
      </c>
    </row>
    <row r="98" spans="2:34" x14ac:dyDescent="0.3">
      <c r="B98" s="337"/>
      <c r="C98" s="305"/>
      <c r="D98" s="275"/>
      <c r="E98" s="271"/>
      <c r="F98" s="413"/>
      <c r="G98" s="3" t="s">
        <v>117</v>
      </c>
      <c r="H98" s="3" t="s">
        <v>396</v>
      </c>
      <c r="I98" s="232"/>
      <c r="J98" s="3" t="s">
        <v>76</v>
      </c>
      <c r="K98" s="3" t="s">
        <v>423</v>
      </c>
      <c r="L98" s="270"/>
      <c r="M98" s="268"/>
      <c r="N98" s="270"/>
      <c r="O98" s="268"/>
      <c r="P98" s="270"/>
      <c r="Q98" s="270"/>
      <c r="R98" s="270"/>
      <c r="S98" s="270"/>
      <c r="T98" s="413"/>
      <c r="U98" s="3"/>
      <c r="V98" s="3" t="s">
        <v>431</v>
      </c>
      <c r="W98" s="3" t="s">
        <v>150</v>
      </c>
      <c r="X98" s="3" t="s">
        <v>430</v>
      </c>
      <c r="Y98" s="3" t="s">
        <v>150</v>
      </c>
      <c r="Z98" s="3" t="s">
        <v>147</v>
      </c>
      <c r="AA98" s="422"/>
      <c r="AB98" s="423"/>
      <c r="AC98" s="4" t="s">
        <v>538</v>
      </c>
      <c r="AD98" s="3" t="s">
        <v>539</v>
      </c>
      <c r="AE98" s="3" t="s">
        <v>540</v>
      </c>
      <c r="AF98" s="3"/>
      <c r="AG98" s="3" t="s">
        <v>541</v>
      </c>
      <c r="AH98" s="18" t="s">
        <v>542</v>
      </c>
    </row>
    <row r="99" spans="2:34" x14ac:dyDescent="0.3">
      <c r="B99" s="337"/>
      <c r="C99" s="305"/>
      <c r="D99" s="275"/>
      <c r="E99" s="271"/>
      <c r="F99" s="413"/>
      <c r="G99" s="3" t="s">
        <v>119</v>
      </c>
      <c r="H99" s="3" t="s">
        <v>397</v>
      </c>
      <c r="I99" s="232"/>
      <c r="J99" s="3" t="s">
        <v>76</v>
      </c>
      <c r="K99" s="3" t="s">
        <v>423</v>
      </c>
      <c r="L99" s="270"/>
      <c r="M99" s="268"/>
      <c r="N99" s="270"/>
      <c r="O99" s="268"/>
      <c r="P99" s="270"/>
      <c r="Q99" s="270"/>
      <c r="R99" s="270"/>
      <c r="S99" s="270"/>
      <c r="T99" s="413"/>
      <c r="U99" s="3" t="s">
        <v>150</v>
      </c>
      <c r="V99" s="3" t="s">
        <v>150</v>
      </c>
      <c r="W99" s="3" t="s">
        <v>150</v>
      </c>
      <c r="X99" s="3" t="s">
        <v>150</v>
      </c>
      <c r="Y99" s="3" t="s">
        <v>150</v>
      </c>
      <c r="Z99" s="3" t="s">
        <v>150</v>
      </c>
      <c r="AA99" s="422"/>
      <c r="AB99" s="423"/>
      <c r="AC99" s="4" t="s">
        <v>543</v>
      </c>
      <c r="AD99" s="3" t="s">
        <v>544</v>
      </c>
      <c r="AE99" s="3" t="s">
        <v>517</v>
      </c>
      <c r="AF99" s="3"/>
      <c r="AG99" s="3" t="s">
        <v>300</v>
      </c>
      <c r="AH99" s="18" t="s">
        <v>545</v>
      </c>
    </row>
    <row r="100" spans="2:34" x14ac:dyDescent="0.3">
      <c r="B100" s="337"/>
      <c r="C100" s="305"/>
      <c r="D100" s="275"/>
      <c r="E100" s="271"/>
      <c r="F100" s="413"/>
      <c r="G100" s="3" t="s">
        <v>365</v>
      </c>
      <c r="H100" s="3" t="s">
        <v>398</v>
      </c>
      <c r="I100" s="232"/>
      <c r="J100" s="3" t="s">
        <v>393</v>
      </c>
      <c r="K100" s="3" t="s">
        <v>90</v>
      </c>
      <c r="L100" s="270"/>
      <c r="M100" s="268"/>
      <c r="N100" s="270"/>
      <c r="O100" s="268"/>
      <c r="P100" s="270"/>
      <c r="Q100" s="270"/>
      <c r="R100" s="270"/>
      <c r="S100" s="270"/>
      <c r="T100" s="413"/>
      <c r="U100" s="3" t="s">
        <v>150</v>
      </c>
      <c r="V100" s="3" t="s">
        <v>434</v>
      </c>
      <c r="W100" s="3" t="s">
        <v>150</v>
      </c>
      <c r="X100" s="3" t="s">
        <v>433</v>
      </c>
      <c r="Y100" s="3" t="s">
        <v>150</v>
      </c>
      <c r="Z100" s="3" t="s">
        <v>432</v>
      </c>
      <c r="AA100" s="422"/>
      <c r="AB100" s="423"/>
      <c r="AC100" s="4" t="s">
        <v>213</v>
      </c>
      <c r="AD100" s="3" t="s">
        <v>546</v>
      </c>
      <c r="AE100" s="3" t="s">
        <v>546</v>
      </c>
      <c r="AF100" s="3"/>
      <c r="AG100" s="3" t="s">
        <v>427</v>
      </c>
      <c r="AH100" s="18" t="s">
        <v>547</v>
      </c>
    </row>
    <row r="101" spans="2:34" x14ac:dyDescent="0.3">
      <c r="B101" s="337"/>
      <c r="C101" s="305"/>
      <c r="D101" s="275"/>
      <c r="E101" s="271"/>
      <c r="F101" s="413"/>
      <c r="G101" s="3" t="s">
        <v>123</v>
      </c>
      <c r="H101" s="3" t="s">
        <v>399</v>
      </c>
      <c r="I101" s="232"/>
      <c r="J101" s="3" t="s">
        <v>76</v>
      </c>
      <c r="K101" s="3" t="s">
        <v>424</v>
      </c>
      <c r="L101" s="270"/>
      <c r="M101" s="268"/>
      <c r="N101" s="270"/>
      <c r="O101" s="268"/>
      <c r="P101" s="270"/>
      <c r="Q101" s="270"/>
      <c r="R101" s="270"/>
      <c r="S101" s="270"/>
      <c r="T101" s="413"/>
      <c r="U101" s="3" t="s">
        <v>150</v>
      </c>
      <c r="V101" s="3" t="s">
        <v>150</v>
      </c>
      <c r="W101" s="3" t="s">
        <v>150</v>
      </c>
      <c r="X101" s="3" t="s">
        <v>150</v>
      </c>
      <c r="Y101" s="3" t="s">
        <v>150</v>
      </c>
      <c r="Z101" s="3" t="s">
        <v>150</v>
      </c>
      <c r="AA101" s="422"/>
      <c r="AB101" s="423"/>
      <c r="AC101" s="3" t="s">
        <v>150</v>
      </c>
      <c r="AD101" s="3" t="s">
        <v>150</v>
      </c>
      <c r="AE101" s="3" t="s">
        <v>150</v>
      </c>
      <c r="AF101" s="3"/>
      <c r="AG101" s="3" t="s">
        <v>150</v>
      </c>
      <c r="AH101" s="18" t="s">
        <v>150</v>
      </c>
    </row>
    <row r="102" spans="2:34" x14ac:dyDescent="0.3">
      <c r="B102" s="337"/>
      <c r="C102" s="305"/>
      <c r="D102" s="275"/>
      <c r="E102" s="271"/>
      <c r="F102" s="413"/>
      <c r="G102" s="3" t="s">
        <v>366</v>
      </c>
      <c r="H102" s="3" t="s">
        <v>399</v>
      </c>
      <c r="I102" s="232"/>
      <c r="J102" s="3" t="s">
        <v>400</v>
      </c>
      <c r="K102" s="3"/>
      <c r="L102" s="270"/>
      <c r="M102" s="268"/>
      <c r="N102" s="270"/>
      <c r="O102" s="268"/>
      <c r="P102" s="270"/>
      <c r="Q102" s="270"/>
      <c r="R102" s="270"/>
      <c r="S102" s="270"/>
      <c r="T102" s="413"/>
      <c r="U102" s="3" t="s">
        <v>150</v>
      </c>
      <c r="V102" s="3" t="s">
        <v>437</v>
      </c>
      <c r="W102" s="3" t="s">
        <v>150</v>
      </c>
      <c r="X102" s="3" t="s">
        <v>436</v>
      </c>
      <c r="Y102" s="3" t="s">
        <v>150</v>
      </c>
      <c r="Z102" s="3" t="s">
        <v>435</v>
      </c>
      <c r="AA102" s="422"/>
      <c r="AB102" s="423"/>
      <c r="AC102" s="4" t="s">
        <v>548</v>
      </c>
      <c r="AD102" s="3" t="s">
        <v>150</v>
      </c>
      <c r="AE102" s="3" t="s">
        <v>150</v>
      </c>
      <c r="AF102" s="3"/>
      <c r="AG102" s="3" t="s">
        <v>150</v>
      </c>
      <c r="AH102" s="18" t="s">
        <v>150</v>
      </c>
    </row>
    <row r="103" spans="2:34" x14ac:dyDescent="0.3">
      <c r="B103" s="337"/>
      <c r="C103" s="305"/>
      <c r="D103" s="275"/>
      <c r="E103" s="271"/>
      <c r="F103" s="413"/>
      <c r="G103" s="3" t="s">
        <v>127</v>
      </c>
      <c r="H103" s="3" t="s">
        <v>401</v>
      </c>
      <c r="I103" s="232"/>
      <c r="J103" s="3" t="s">
        <v>76</v>
      </c>
      <c r="K103" s="3" t="s">
        <v>425</v>
      </c>
      <c r="L103" s="270"/>
      <c r="M103" s="268"/>
      <c r="N103" s="270"/>
      <c r="O103" s="268"/>
      <c r="P103" s="270"/>
      <c r="Q103" s="270"/>
      <c r="R103" s="270"/>
      <c r="S103" s="270"/>
      <c r="T103" s="413"/>
      <c r="U103" s="3" t="s">
        <v>150</v>
      </c>
      <c r="V103" s="3" t="s">
        <v>150</v>
      </c>
      <c r="W103" s="3" t="s">
        <v>150</v>
      </c>
      <c r="X103" s="3" t="s">
        <v>150</v>
      </c>
      <c r="Y103" s="3" t="s">
        <v>150</v>
      </c>
      <c r="Z103" s="3" t="s">
        <v>150</v>
      </c>
      <c r="AA103" s="422"/>
      <c r="AB103" s="423"/>
      <c r="AC103" s="3" t="s">
        <v>150</v>
      </c>
      <c r="AD103" s="3" t="s">
        <v>150</v>
      </c>
      <c r="AE103" s="3" t="s">
        <v>150</v>
      </c>
      <c r="AF103" s="3"/>
      <c r="AG103" s="3" t="s">
        <v>150</v>
      </c>
      <c r="AH103" s="18" t="s">
        <v>150</v>
      </c>
    </row>
    <row r="104" spans="2:34" x14ac:dyDescent="0.3">
      <c r="B104" s="337"/>
      <c r="C104" s="305"/>
      <c r="D104" s="275"/>
      <c r="E104" s="271"/>
      <c r="F104" s="413"/>
      <c r="G104" s="3" t="s">
        <v>128</v>
      </c>
      <c r="H104" s="3" t="s">
        <v>402</v>
      </c>
      <c r="I104" s="232"/>
      <c r="J104" s="3" t="s">
        <v>403</v>
      </c>
      <c r="K104" s="3"/>
      <c r="L104" s="270"/>
      <c r="M104" s="268"/>
      <c r="N104" s="270"/>
      <c r="O104" s="268"/>
      <c r="P104" s="270"/>
      <c r="Q104" s="270"/>
      <c r="R104" s="270"/>
      <c r="S104" s="270"/>
      <c r="T104" s="413"/>
      <c r="U104" s="3" t="s">
        <v>150</v>
      </c>
      <c r="V104" s="3" t="s">
        <v>150</v>
      </c>
      <c r="W104" s="3" t="s">
        <v>150</v>
      </c>
      <c r="X104" s="3" t="s">
        <v>150</v>
      </c>
      <c r="Y104" s="3" t="s">
        <v>150</v>
      </c>
      <c r="Z104" s="3" t="s">
        <v>150</v>
      </c>
      <c r="AA104" s="422"/>
      <c r="AB104" s="423"/>
      <c r="AC104" s="3" t="s">
        <v>549</v>
      </c>
      <c r="AD104" s="3" t="s">
        <v>150</v>
      </c>
      <c r="AE104" s="3" t="s">
        <v>150</v>
      </c>
      <c r="AF104" s="3"/>
      <c r="AG104" s="3" t="s">
        <v>150</v>
      </c>
      <c r="AH104" s="18" t="s">
        <v>150</v>
      </c>
    </row>
    <row r="105" spans="2:34" ht="14.4" customHeight="1" x14ac:dyDescent="0.3">
      <c r="B105" s="337"/>
      <c r="C105" s="305"/>
      <c r="D105" s="275"/>
      <c r="E105" s="271"/>
      <c r="F105" s="413"/>
      <c r="G105" s="3" t="s">
        <v>130</v>
      </c>
      <c r="H105" s="3" t="s">
        <v>404</v>
      </c>
      <c r="I105" s="232"/>
      <c r="J105" s="3" t="s">
        <v>405</v>
      </c>
      <c r="K105" s="3"/>
      <c r="L105" s="270"/>
      <c r="M105" s="268"/>
      <c r="N105" s="270"/>
      <c r="O105" s="268"/>
      <c r="P105" s="270"/>
      <c r="Q105" s="270"/>
      <c r="R105" s="270"/>
      <c r="S105" s="270"/>
      <c r="T105" s="413"/>
      <c r="U105" s="3" t="s">
        <v>150</v>
      </c>
      <c r="V105" s="3" t="s">
        <v>150</v>
      </c>
      <c r="W105" s="3" t="s">
        <v>150</v>
      </c>
      <c r="X105" s="3" t="s">
        <v>150</v>
      </c>
      <c r="Y105" s="3" t="s">
        <v>150</v>
      </c>
      <c r="Z105" s="3" t="s">
        <v>150</v>
      </c>
      <c r="AA105" s="422"/>
      <c r="AB105" s="423"/>
      <c r="AC105" s="3" t="s">
        <v>550</v>
      </c>
      <c r="AD105" s="3" t="s">
        <v>150</v>
      </c>
      <c r="AE105" s="3" t="s">
        <v>150</v>
      </c>
      <c r="AF105" s="3"/>
      <c r="AG105" s="3" t="s">
        <v>150</v>
      </c>
      <c r="AH105" s="18" t="s">
        <v>150</v>
      </c>
    </row>
    <row r="106" spans="2:34" x14ac:dyDescent="0.3">
      <c r="B106" s="337"/>
      <c r="C106" s="305"/>
      <c r="D106" s="275"/>
      <c r="E106" s="271"/>
      <c r="F106" s="413"/>
      <c r="G106" s="3" t="s">
        <v>132</v>
      </c>
      <c r="H106" s="3" t="s">
        <v>406</v>
      </c>
      <c r="I106" s="232"/>
      <c r="J106" s="3" t="s">
        <v>407</v>
      </c>
      <c r="K106" s="3"/>
      <c r="L106" s="270"/>
      <c r="M106" s="268"/>
      <c r="N106" s="270"/>
      <c r="O106" s="268"/>
      <c r="P106" s="270"/>
      <c r="Q106" s="270"/>
      <c r="R106" s="270"/>
      <c r="S106" s="270"/>
      <c r="T106" s="413"/>
      <c r="U106" s="3" t="s">
        <v>150</v>
      </c>
      <c r="V106" s="3" t="s">
        <v>150</v>
      </c>
      <c r="W106" s="3" t="s">
        <v>150</v>
      </c>
      <c r="X106" s="3" t="s">
        <v>150</v>
      </c>
      <c r="Y106" s="3" t="s">
        <v>150</v>
      </c>
      <c r="Z106" s="3" t="s">
        <v>150</v>
      </c>
      <c r="AA106" s="422"/>
      <c r="AB106" s="423"/>
      <c r="AC106" s="3" t="s">
        <v>551</v>
      </c>
      <c r="AD106" s="3" t="s">
        <v>150</v>
      </c>
      <c r="AE106" s="3" t="s">
        <v>150</v>
      </c>
      <c r="AF106" s="3"/>
      <c r="AG106" s="3" t="s">
        <v>150</v>
      </c>
      <c r="AH106" s="18" t="s">
        <v>150</v>
      </c>
    </row>
    <row r="107" spans="2:34" x14ac:dyDescent="0.3">
      <c r="B107" s="337"/>
      <c r="C107" s="305"/>
      <c r="D107" s="275"/>
      <c r="E107" s="271"/>
      <c r="F107" s="413"/>
      <c r="G107" s="3" t="s">
        <v>367</v>
      </c>
      <c r="H107" s="3" t="s">
        <v>408</v>
      </c>
      <c r="I107" s="232"/>
      <c r="J107" s="3" t="s">
        <v>76</v>
      </c>
      <c r="K107" s="3" t="s">
        <v>426</v>
      </c>
      <c r="L107" s="270"/>
      <c r="M107" s="268"/>
      <c r="N107" s="270"/>
      <c r="O107" s="268"/>
      <c r="P107" s="270"/>
      <c r="Q107" s="270"/>
      <c r="R107" s="270"/>
      <c r="S107" s="270"/>
      <c r="T107" s="413"/>
      <c r="U107" s="3" t="s">
        <v>150</v>
      </c>
      <c r="V107" s="3" t="s">
        <v>150</v>
      </c>
      <c r="W107" s="3" t="s">
        <v>150</v>
      </c>
      <c r="X107" s="3" t="s">
        <v>150</v>
      </c>
      <c r="Y107" s="3" t="s">
        <v>150</v>
      </c>
      <c r="Z107" s="3" t="s">
        <v>150</v>
      </c>
      <c r="AA107" s="422"/>
      <c r="AB107" s="423"/>
      <c r="AC107" s="3" t="s">
        <v>150</v>
      </c>
      <c r="AD107" s="3" t="s">
        <v>150</v>
      </c>
      <c r="AE107" s="3" t="s">
        <v>150</v>
      </c>
      <c r="AF107" s="3"/>
      <c r="AG107" s="3" t="s">
        <v>150</v>
      </c>
      <c r="AH107" s="18" t="s">
        <v>150</v>
      </c>
    </row>
    <row r="108" spans="2:34" x14ac:dyDescent="0.3">
      <c r="B108" s="337"/>
      <c r="C108" s="305"/>
      <c r="D108" s="275"/>
      <c r="E108" s="271"/>
      <c r="F108" s="413"/>
      <c r="G108" s="3" t="s">
        <v>368</v>
      </c>
      <c r="H108" s="3" t="s">
        <v>409</v>
      </c>
      <c r="I108" s="232"/>
      <c r="J108" s="3" t="s">
        <v>410</v>
      </c>
      <c r="K108" s="3"/>
      <c r="L108" s="270"/>
      <c r="M108" s="268"/>
      <c r="N108" s="270"/>
      <c r="O108" s="268"/>
      <c r="P108" s="270"/>
      <c r="Q108" s="270"/>
      <c r="R108" s="270"/>
      <c r="S108" s="270"/>
      <c r="T108" s="413"/>
      <c r="U108" s="3" t="s">
        <v>150</v>
      </c>
      <c r="V108" s="3" t="s">
        <v>150</v>
      </c>
      <c r="W108" s="3" t="s">
        <v>150</v>
      </c>
      <c r="X108" s="3" t="s">
        <v>150</v>
      </c>
      <c r="Y108" s="3" t="s">
        <v>150</v>
      </c>
      <c r="Z108" s="3" t="s">
        <v>150</v>
      </c>
      <c r="AA108" s="422"/>
      <c r="AB108" s="423"/>
      <c r="AC108" s="3" t="s">
        <v>552</v>
      </c>
      <c r="AD108" s="3" t="s">
        <v>289</v>
      </c>
      <c r="AE108" s="3" t="s">
        <v>289</v>
      </c>
      <c r="AF108" s="3"/>
      <c r="AG108" s="3" t="s">
        <v>289</v>
      </c>
      <c r="AH108" s="18" t="s">
        <v>289</v>
      </c>
    </row>
    <row r="109" spans="2:34" x14ac:dyDescent="0.3">
      <c r="B109" s="337"/>
      <c r="C109" s="305"/>
      <c r="D109" s="275"/>
      <c r="E109" s="271"/>
      <c r="F109" s="413"/>
      <c r="G109" s="3" t="s">
        <v>369</v>
      </c>
      <c r="H109" s="3" t="s">
        <v>408</v>
      </c>
      <c r="I109" s="232"/>
      <c r="J109" s="3" t="s">
        <v>411</v>
      </c>
      <c r="K109" s="3"/>
      <c r="L109" s="270"/>
      <c r="M109" s="268"/>
      <c r="N109" s="270"/>
      <c r="O109" s="268"/>
      <c r="P109" s="270"/>
      <c r="Q109" s="270"/>
      <c r="R109" s="270"/>
      <c r="S109" s="270"/>
      <c r="T109" s="413"/>
      <c r="U109" s="3" t="s">
        <v>150</v>
      </c>
      <c r="V109" s="3" t="s">
        <v>150</v>
      </c>
      <c r="W109" s="3" t="s">
        <v>150</v>
      </c>
      <c r="X109" s="3" t="s">
        <v>150</v>
      </c>
      <c r="Y109" s="3" t="s">
        <v>150</v>
      </c>
      <c r="Z109" s="3" t="s">
        <v>150</v>
      </c>
      <c r="AA109" s="422"/>
      <c r="AB109" s="423"/>
      <c r="AC109" s="3" t="s">
        <v>553</v>
      </c>
      <c r="AD109" s="3" t="s">
        <v>289</v>
      </c>
      <c r="AE109" s="3" t="s">
        <v>289</v>
      </c>
      <c r="AF109" s="3"/>
      <c r="AG109" s="3" t="s">
        <v>289</v>
      </c>
      <c r="AH109" s="18" t="s">
        <v>289</v>
      </c>
    </row>
    <row r="110" spans="2:34" x14ac:dyDescent="0.3">
      <c r="B110" s="337"/>
      <c r="C110" s="305"/>
      <c r="D110" s="275"/>
      <c r="E110" s="271"/>
      <c r="F110" s="413"/>
      <c r="G110" s="3" t="s">
        <v>370</v>
      </c>
      <c r="H110" s="3" t="s">
        <v>412</v>
      </c>
      <c r="I110" s="232"/>
      <c r="J110" s="3" t="s">
        <v>413</v>
      </c>
      <c r="K110" s="3" t="s">
        <v>424</v>
      </c>
      <c r="L110" s="270"/>
      <c r="M110" s="268"/>
      <c r="N110" s="270"/>
      <c r="O110" s="268"/>
      <c r="P110" s="270"/>
      <c r="Q110" s="270"/>
      <c r="R110" s="270"/>
      <c r="S110" s="270"/>
      <c r="T110" s="413"/>
      <c r="U110" s="3" t="s">
        <v>150</v>
      </c>
      <c r="V110" s="3" t="s">
        <v>150</v>
      </c>
      <c r="W110" s="3" t="s">
        <v>150</v>
      </c>
      <c r="X110" s="3" t="s">
        <v>150</v>
      </c>
      <c r="Y110" s="3" t="s">
        <v>150</v>
      </c>
      <c r="Z110" s="3" t="s">
        <v>150</v>
      </c>
      <c r="AA110" s="422"/>
      <c r="AB110" s="423"/>
      <c r="AC110" s="3" t="s">
        <v>554</v>
      </c>
      <c r="AD110" s="3" t="s">
        <v>555</v>
      </c>
      <c r="AE110" s="3" t="s">
        <v>555</v>
      </c>
      <c r="AF110" s="3"/>
      <c r="AG110" s="3" t="s">
        <v>556</v>
      </c>
      <c r="AH110" s="18" t="s">
        <v>557</v>
      </c>
    </row>
    <row r="111" spans="2:34" x14ac:dyDescent="0.3">
      <c r="B111" s="337"/>
      <c r="C111" s="305"/>
      <c r="D111" s="275"/>
      <c r="E111" s="361"/>
      <c r="F111" s="413"/>
      <c r="G111" s="62" t="s">
        <v>442</v>
      </c>
      <c r="H111" s="8"/>
      <c r="I111" s="233"/>
      <c r="J111" s="8"/>
      <c r="K111" s="8"/>
      <c r="L111" s="270"/>
      <c r="M111" s="269"/>
      <c r="N111" s="304"/>
      <c r="O111" s="269"/>
      <c r="P111" s="270"/>
      <c r="Q111" s="304"/>
      <c r="R111" s="304"/>
      <c r="S111" s="304"/>
      <c r="T111" s="415"/>
      <c r="U111" s="8" t="s">
        <v>150</v>
      </c>
      <c r="V111" s="9" t="s">
        <v>440</v>
      </c>
      <c r="W111" s="9" t="s">
        <v>150</v>
      </c>
      <c r="X111" s="9" t="s">
        <v>439</v>
      </c>
      <c r="Y111" s="9" t="s">
        <v>150</v>
      </c>
      <c r="Z111" s="9" t="s">
        <v>438</v>
      </c>
      <c r="AA111" s="424"/>
      <c r="AB111" s="425"/>
      <c r="AC111" s="9" t="s">
        <v>558</v>
      </c>
      <c r="AD111" s="9" t="s">
        <v>260</v>
      </c>
      <c r="AE111" s="9" t="s">
        <v>260</v>
      </c>
      <c r="AF111" s="9"/>
      <c r="AG111" s="9" t="s">
        <v>559</v>
      </c>
      <c r="AH111" s="23" t="s">
        <v>560</v>
      </c>
    </row>
    <row r="112" spans="2:34" ht="14.4" customHeight="1" x14ac:dyDescent="0.3">
      <c r="B112" s="337"/>
      <c r="C112" s="305"/>
      <c r="D112" s="275"/>
      <c r="E112" s="282" t="s">
        <v>9</v>
      </c>
      <c r="F112" s="414" t="s">
        <v>11</v>
      </c>
      <c r="G112" s="5" t="s">
        <v>75</v>
      </c>
      <c r="H112" s="5">
        <v>110</v>
      </c>
      <c r="I112" s="234" t="s">
        <v>1058</v>
      </c>
      <c r="J112" s="5" t="s">
        <v>76</v>
      </c>
      <c r="K112" s="5">
        <v>29</v>
      </c>
      <c r="L112" s="294" t="s">
        <v>1034</v>
      </c>
      <c r="M112" s="284" t="s">
        <v>845</v>
      </c>
      <c r="N112" s="294" t="s">
        <v>1038</v>
      </c>
      <c r="O112" s="294" t="s">
        <v>580</v>
      </c>
      <c r="P112" s="294" t="s">
        <v>1001</v>
      </c>
      <c r="Q112" s="294" t="s">
        <v>668</v>
      </c>
      <c r="R112" s="294" t="s">
        <v>668</v>
      </c>
      <c r="S112" s="282" t="s">
        <v>993</v>
      </c>
      <c r="T112" s="414" t="s">
        <v>1092</v>
      </c>
      <c r="U112" s="282" t="s">
        <v>360</v>
      </c>
      <c r="V112" s="282"/>
      <c r="W112" s="282"/>
      <c r="X112" s="282"/>
      <c r="Y112" s="282"/>
      <c r="Z112" s="282"/>
      <c r="AA112" s="282" t="s">
        <v>668</v>
      </c>
      <c r="AB112" s="282"/>
      <c r="AC112" s="5" t="s">
        <v>585</v>
      </c>
      <c r="AD112" s="5" t="s">
        <v>586</v>
      </c>
      <c r="AE112" s="5" t="s">
        <v>587</v>
      </c>
      <c r="AF112" s="5"/>
      <c r="AG112" s="5" t="s">
        <v>446</v>
      </c>
      <c r="AH112" s="19" t="s">
        <v>184</v>
      </c>
    </row>
    <row r="113" spans="2:34" x14ac:dyDescent="0.3">
      <c r="B113" s="337"/>
      <c r="C113" s="305"/>
      <c r="D113" s="275"/>
      <c r="E113" s="282"/>
      <c r="F113" s="300"/>
      <c r="G113" s="5" t="s">
        <v>361</v>
      </c>
      <c r="H113" s="5">
        <v>246</v>
      </c>
      <c r="I113" s="235"/>
      <c r="J113" s="5" t="s">
        <v>76</v>
      </c>
      <c r="K113" s="5">
        <v>150</v>
      </c>
      <c r="L113" s="294"/>
      <c r="M113" s="285"/>
      <c r="N113" s="294"/>
      <c r="O113" s="294"/>
      <c r="P113" s="294"/>
      <c r="Q113" s="294"/>
      <c r="R113" s="294"/>
      <c r="S113" s="282"/>
      <c r="T113" s="276"/>
      <c r="U113" s="282"/>
      <c r="V113" s="282"/>
      <c r="W113" s="282"/>
      <c r="X113" s="282"/>
      <c r="Y113" s="282"/>
      <c r="Z113" s="282"/>
      <c r="AA113" s="282"/>
      <c r="AB113" s="282"/>
      <c r="AC113" s="5" t="s">
        <v>581</v>
      </c>
      <c r="AD113" s="5" t="s">
        <v>582</v>
      </c>
      <c r="AE113" s="5" t="s">
        <v>583</v>
      </c>
      <c r="AF113" s="5"/>
      <c r="AG113" s="5" t="s">
        <v>455</v>
      </c>
      <c r="AH113" s="19" t="s">
        <v>584</v>
      </c>
    </row>
    <row r="114" spans="2:34" x14ac:dyDescent="0.3">
      <c r="B114" s="337"/>
      <c r="C114" s="305"/>
      <c r="D114" s="275"/>
      <c r="E114" s="282"/>
      <c r="F114" s="300"/>
      <c r="G114" s="5" t="s">
        <v>80</v>
      </c>
      <c r="H114" s="5">
        <v>496</v>
      </c>
      <c r="I114" s="235"/>
      <c r="J114" s="5" t="s">
        <v>76</v>
      </c>
      <c r="K114" s="5">
        <v>103</v>
      </c>
      <c r="L114" s="294"/>
      <c r="M114" s="285"/>
      <c r="N114" s="294"/>
      <c r="O114" s="294"/>
      <c r="P114" s="294"/>
      <c r="Q114" s="294"/>
      <c r="R114" s="294"/>
      <c r="S114" s="282"/>
      <c r="T114" s="276"/>
      <c r="U114" s="282"/>
      <c r="V114" s="282"/>
      <c r="W114" s="282"/>
      <c r="X114" s="282"/>
      <c r="Y114" s="282"/>
      <c r="Z114" s="282"/>
      <c r="AA114" s="282"/>
      <c r="AB114" s="282"/>
      <c r="AC114" s="5" t="s">
        <v>588</v>
      </c>
      <c r="AD114" s="5" t="s">
        <v>589</v>
      </c>
      <c r="AE114" s="5" t="s">
        <v>590</v>
      </c>
      <c r="AF114" s="5"/>
      <c r="AG114" s="5" t="s">
        <v>465</v>
      </c>
      <c r="AH114" s="19" t="s">
        <v>192</v>
      </c>
    </row>
    <row r="115" spans="2:34" x14ac:dyDescent="0.3">
      <c r="B115" s="337"/>
      <c r="C115" s="305"/>
      <c r="D115" s="275"/>
      <c r="E115" s="282"/>
      <c r="F115" s="300"/>
      <c r="G115" s="5" t="s">
        <v>171</v>
      </c>
      <c r="H115" s="5">
        <v>796</v>
      </c>
      <c r="I115" s="235"/>
      <c r="J115" s="5" t="s">
        <v>76</v>
      </c>
      <c r="K115" s="5">
        <v>120</v>
      </c>
      <c r="L115" s="294"/>
      <c r="M115" s="285"/>
      <c r="N115" s="294"/>
      <c r="O115" s="294"/>
      <c r="P115" s="294"/>
      <c r="Q115" s="294"/>
      <c r="R115" s="294"/>
      <c r="S115" s="282"/>
      <c r="T115" s="276"/>
      <c r="U115" s="282"/>
      <c r="V115" s="282"/>
      <c r="W115" s="282"/>
      <c r="X115" s="282"/>
      <c r="Y115" s="282"/>
      <c r="Z115" s="282"/>
      <c r="AA115" s="282"/>
      <c r="AB115" s="282"/>
      <c r="AC115" s="5" t="s">
        <v>591</v>
      </c>
      <c r="AD115" s="5" t="s">
        <v>592</v>
      </c>
      <c r="AE115" s="5" t="s">
        <v>593</v>
      </c>
      <c r="AF115" s="5"/>
      <c r="AG115" s="5" t="s">
        <v>470</v>
      </c>
      <c r="AH115" s="19" t="s">
        <v>306</v>
      </c>
    </row>
    <row r="116" spans="2:34" x14ac:dyDescent="0.3">
      <c r="B116" s="337"/>
      <c r="C116" s="305"/>
      <c r="D116" s="275"/>
      <c r="E116" s="282"/>
      <c r="F116" s="300"/>
      <c r="G116" s="5" t="s">
        <v>363</v>
      </c>
      <c r="H116" s="5" t="s">
        <v>561</v>
      </c>
      <c r="I116" s="235"/>
      <c r="J116" s="5"/>
      <c r="K116" s="5">
        <v>14</v>
      </c>
      <c r="L116" s="294"/>
      <c r="M116" s="285"/>
      <c r="N116" s="294"/>
      <c r="O116" s="294"/>
      <c r="P116" s="294"/>
      <c r="Q116" s="294"/>
      <c r="R116" s="294"/>
      <c r="S116" s="282"/>
      <c r="T116" s="276"/>
      <c r="U116" s="282"/>
      <c r="V116" s="282"/>
      <c r="W116" s="282"/>
      <c r="X116" s="282"/>
      <c r="Y116" s="282"/>
      <c r="Z116" s="282"/>
      <c r="AA116" s="282"/>
      <c r="AB116" s="282"/>
      <c r="AC116" s="5" t="s">
        <v>594</v>
      </c>
      <c r="AD116" s="5" t="s">
        <v>473</v>
      </c>
      <c r="AE116" s="5" t="s">
        <v>473</v>
      </c>
      <c r="AF116" s="5"/>
      <c r="AG116" s="5" t="s">
        <v>473</v>
      </c>
      <c r="AH116" s="19" t="s">
        <v>473</v>
      </c>
    </row>
    <row r="117" spans="2:34" x14ac:dyDescent="0.3">
      <c r="B117" s="337"/>
      <c r="C117" s="305"/>
      <c r="D117" s="275"/>
      <c r="E117" s="282"/>
      <c r="F117" s="300"/>
      <c r="G117" s="5" t="s">
        <v>83</v>
      </c>
      <c r="H117" s="5">
        <v>2</v>
      </c>
      <c r="I117" s="235"/>
      <c r="J117" s="5" t="s">
        <v>76</v>
      </c>
      <c r="K117" s="5">
        <v>1</v>
      </c>
      <c r="L117" s="294"/>
      <c r="M117" s="285"/>
      <c r="N117" s="294"/>
      <c r="O117" s="294"/>
      <c r="P117" s="294"/>
      <c r="Q117" s="294"/>
      <c r="R117" s="294"/>
      <c r="S117" s="282"/>
      <c r="T117" s="276"/>
      <c r="U117" s="282"/>
      <c r="V117" s="282"/>
      <c r="W117" s="282"/>
      <c r="X117" s="282"/>
      <c r="Y117" s="282"/>
      <c r="Z117" s="282"/>
      <c r="AA117" s="282"/>
      <c r="AB117" s="282"/>
      <c r="AC117" s="5" t="s">
        <v>595</v>
      </c>
      <c r="AD117" s="5" t="s">
        <v>596</v>
      </c>
      <c r="AE117" s="5" t="s">
        <v>333</v>
      </c>
      <c r="AF117" s="5"/>
      <c r="AG117" s="5" t="s">
        <v>198</v>
      </c>
      <c r="AH117" s="19" t="s">
        <v>198</v>
      </c>
    </row>
    <row r="118" spans="2:34" x14ac:dyDescent="0.3">
      <c r="B118" s="337"/>
      <c r="C118" s="305"/>
      <c r="D118" s="275"/>
      <c r="E118" s="282"/>
      <c r="F118" s="300"/>
      <c r="G118" s="5" t="s">
        <v>86</v>
      </c>
      <c r="H118" s="5">
        <v>1085</v>
      </c>
      <c r="I118" s="235"/>
      <c r="J118" s="5" t="s">
        <v>76</v>
      </c>
      <c r="K118" s="5">
        <v>158</v>
      </c>
      <c r="L118" s="294"/>
      <c r="M118" s="285"/>
      <c r="N118" s="294"/>
      <c r="O118" s="294"/>
      <c r="P118" s="294"/>
      <c r="Q118" s="294"/>
      <c r="R118" s="294"/>
      <c r="S118" s="282"/>
      <c r="T118" s="276"/>
      <c r="U118" s="282"/>
      <c r="V118" s="282"/>
      <c r="W118" s="282"/>
      <c r="X118" s="282"/>
      <c r="Y118" s="282"/>
      <c r="Z118" s="282"/>
      <c r="AA118" s="282"/>
      <c r="AB118" s="282"/>
      <c r="AC118" s="5" t="s">
        <v>597</v>
      </c>
      <c r="AD118" s="5" t="s">
        <v>598</v>
      </c>
      <c r="AE118" s="5" t="s">
        <v>599</v>
      </c>
      <c r="AF118" s="5"/>
      <c r="AG118" s="5" t="s">
        <v>485</v>
      </c>
      <c r="AH118" s="19" t="s">
        <v>208</v>
      </c>
    </row>
    <row r="119" spans="2:34" x14ac:dyDescent="0.3">
      <c r="B119" s="337"/>
      <c r="C119" s="305"/>
      <c r="D119" s="275"/>
      <c r="E119" s="282"/>
      <c r="F119" s="300"/>
      <c r="G119" s="5" t="s">
        <v>87</v>
      </c>
      <c r="H119" s="5">
        <v>224</v>
      </c>
      <c r="I119" s="235"/>
      <c r="J119" s="5" t="s">
        <v>76</v>
      </c>
      <c r="K119" s="5">
        <v>100</v>
      </c>
      <c r="L119" s="294"/>
      <c r="M119" s="285"/>
      <c r="N119" s="294"/>
      <c r="O119" s="294"/>
      <c r="P119" s="294"/>
      <c r="Q119" s="294"/>
      <c r="R119" s="294"/>
      <c r="S119" s="282"/>
      <c r="T119" s="276"/>
      <c r="U119" s="282"/>
      <c r="V119" s="282"/>
      <c r="W119" s="282"/>
      <c r="X119" s="282"/>
      <c r="Y119" s="282"/>
      <c r="Z119" s="282"/>
      <c r="AA119" s="282"/>
      <c r="AB119" s="282"/>
      <c r="AC119" s="5" t="s">
        <v>600</v>
      </c>
      <c r="AD119" s="5" t="s">
        <v>601</v>
      </c>
      <c r="AE119" s="5" t="s">
        <v>602</v>
      </c>
      <c r="AF119" s="5"/>
      <c r="AG119" s="5" t="s">
        <v>490</v>
      </c>
      <c r="AH119" s="19" t="s">
        <v>213</v>
      </c>
    </row>
    <row r="120" spans="2:34" x14ac:dyDescent="0.3">
      <c r="B120" s="337"/>
      <c r="C120" s="305"/>
      <c r="D120" s="275"/>
      <c r="E120" s="282"/>
      <c r="F120" s="300"/>
      <c r="G120" s="5" t="s">
        <v>88</v>
      </c>
      <c r="H120" s="5" t="s">
        <v>562</v>
      </c>
      <c r="I120" s="235"/>
      <c r="J120" s="5" t="s">
        <v>76</v>
      </c>
      <c r="K120" s="5" t="s">
        <v>90</v>
      </c>
      <c r="L120" s="294"/>
      <c r="M120" s="285"/>
      <c r="N120" s="294"/>
      <c r="O120" s="294"/>
      <c r="P120" s="294"/>
      <c r="Q120" s="294"/>
      <c r="R120" s="294"/>
      <c r="S120" s="282"/>
      <c r="T120" s="276"/>
      <c r="U120" s="282"/>
      <c r="V120" s="282"/>
      <c r="W120" s="282"/>
      <c r="X120" s="282"/>
      <c r="Y120" s="282"/>
      <c r="Z120" s="282"/>
      <c r="AA120" s="282"/>
      <c r="AB120" s="282"/>
      <c r="AC120" s="5" t="s">
        <v>603</v>
      </c>
      <c r="AD120" s="5" t="s">
        <v>604</v>
      </c>
      <c r="AE120" s="5" t="s">
        <v>352</v>
      </c>
      <c r="AF120" s="5"/>
      <c r="AG120" s="5" t="s">
        <v>493</v>
      </c>
      <c r="AH120" s="19" t="s">
        <v>317</v>
      </c>
    </row>
    <row r="121" spans="2:34" x14ac:dyDescent="0.3">
      <c r="B121" s="337"/>
      <c r="C121" s="305"/>
      <c r="D121" s="275"/>
      <c r="E121" s="282"/>
      <c r="F121" s="300"/>
      <c r="G121" s="5" t="s">
        <v>91</v>
      </c>
      <c r="H121" s="5" t="s">
        <v>563</v>
      </c>
      <c r="I121" s="235"/>
      <c r="J121" s="5" t="s">
        <v>76</v>
      </c>
      <c r="K121" s="5" t="s">
        <v>93</v>
      </c>
      <c r="L121" s="294"/>
      <c r="M121" s="285"/>
      <c r="N121" s="294"/>
      <c r="O121" s="294"/>
      <c r="P121" s="294"/>
      <c r="Q121" s="294"/>
      <c r="R121" s="294"/>
      <c r="S121" s="282"/>
      <c r="T121" s="276"/>
      <c r="U121" s="282"/>
      <c r="V121" s="282"/>
      <c r="W121" s="282"/>
      <c r="X121" s="282"/>
      <c r="Y121" s="282"/>
      <c r="Z121" s="282"/>
      <c r="AA121" s="282"/>
      <c r="AB121" s="282"/>
      <c r="AC121" s="5" t="s">
        <v>605</v>
      </c>
      <c r="AD121" s="5" t="s">
        <v>606</v>
      </c>
      <c r="AE121" s="5" t="s">
        <v>607</v>
      </c>
      <c r="AF121" s="5"/>
      <c r="AG121" s="5" t="s">
        <v>496</v>
      </c>
      <c r="AH121" s="19" t="s">
        <v>320</v>
      </c>
    </row>
    <row r="122" spans="2:34" x14ac:dyDescent="0.3">
      <c r="B122" s="337"/>
      <c r="C122" s="305"/>
      <c r="D122" s="275"/>
      <c r="E122" s="282"/>
      <c r="F122" s="300"/>
      <c r="G122" s="5" t="s">
        <v>94</v>
      </c>
      <c r="H122" s="5" t="s">
        <v>564</v>
      </c>
      <c r="I122" s="235"/>
      <c r="J122" s="5" t="s">
        <v>76</v>
      </c>
      <c r="K122" s="5" t="s">
        <v>90</v>
      </c>
      <c r="L122" s="294"/>
      <c r="M122" s="285"/>
      <c r="N122" s="294"/>
      <c r="O122" s="294"/>
      <c r="P122" s="294"/>
      <c r="Q122" s="294"/>
      <c r="R122" s="294"/>
      <c r="S122" s="282"/>
      <c r="T122" s="276"/>
      <c r="U122" s="282"/>
      <c r="V122" s="282"/>
      <c r="W122" s="282"/>
      <c r="X122" s="282"/>
      <c r="Y122" s="282"/>
      <c r="Z122" s="282"/>
      <c r="AA122" s="282"/>
      <c r="AB122" s="282"/>
      <c r="AC122" s="5" t="s">
        <v>608</v>
      </c>
      <c r="AD122" s="5" t="s">
        <v>609</v>
      </c>
      <c r="AE122" s="5" t="s">
        <v>610</v>
      </c>
      <c r="AF122" s="5"/>
      <c r="AG122" s="5" t="s">
        <v>501</v>
      </c>
      <c r="AH122" s="19" t="s">
        <v>502</v>
      </c>
    </row>
    <row r="123" spans="2:34" x14ac:dyDescent="0.3">
      <c r="B123" s="337"/>
      <c r="C123" s="305"/>
      <c r="D123" s="275"/>
      <c r="E123" s="282"/>
      <c r="F123" s="300"/>
      <c r="G123" s="5" t="s">
        <v>96</v>
      </c>
      <c r="H123" s="5" t="s">
        <v>564</v>
      </c>
      <c r="I123" s="235"/>
      <c r="J123" s="5" t="s">
        <v>76</v>
      </c>
      <c r="K123" s="5" t="s">
        <v>90</v>
      </c>
      <c r="L123" s="294"/>
      <c r="M123" s="285"/>
      <c r="N123" s="294"/>
      <c r="O123" s="294"/>
      <c r="P123" s="294"/>
      <c r="Q123" s="294"/>
      <c r="R123" s="294"/>
      <c r="S123" s="282"/>
      <c r="T123" s="276"/>
      <c r="U123" s="282"/>
      <c r="V123" s="282"/>
      <c r="W123" s="282"/>
      <c r="X123" s="282"/>
      <c r="Y123" s="282"/>
      <c r="Z123" s="282"/>
      <c r="AA123" s="282"/>
      <c r="AB123" s="282"/>
      <c r="AC123" s="5" t="s">
        <v>608</v>
      </c>
      <c r="AD123" s="5" t="s">
        <v>609</v>
      </c>
      <c r="AE123" s="5" t="s">
        <v>610</v>
      </c>
      <c r="AF123" s="5"/>
      <c r="AG123" s="5" t="s">
        <v>501</v>
      </c>
      <c r="AH123" s="19" t="s">
        <v>502</v>
      </c>
    </row>
    <row r="124" spans="2:34" x14ac:dyDescent="0.3">
      <c r="B124" s="337"/>
      <c r="C124" s="305"/>
      <c r="D124" s="275"/>
      <c r="E124" s="282"/>
      <c r="F124" s="300"/>
      <c r="G124" s="5" t="s">
        <v>172</v>
      </c>
      <c r="H124" s="5">
        <v>24</v>
      </c>
      <c r="I124" s="235"/>
      <c r="J124" s="5" t="s">
        <v>76</v>
      </c>
      <c r="K124" s="5" t="s">
        <v>93</v>
      </c>
      <c r="L124" s="294"/>
      <c r="M124" s="285"/>
      <c r="N124" s="294"/>
      <c r="O124" s="294"/>
      <c r="P124" s="294"/>
      <c r="Q124" s="294"/>
      <c r="R124" s="294"/>
      <c r="S124" s="282"/>
      <c r="T124" s="276"/>
      <c r="U124" s="282"/>
      <c r="V124" s="282"/>
      <c r="W124" s="282"/>
      <c r="X124" s="282"/>
      <c r="Y124" s="282"/>
      <c r="Z124" s="282"/>
      <c r="AA124" s="282"/>
      <c r="AB124" s="282"/>
      <c r="AC124" s="5" t="s">
        <v>611</v>
      </c>
      <c r="AD124" s="5" t="s">
        <v>612</v>
      </c>
      <c r="AE124" s="5" t="s">
        <v>613</v>
      </c>
      <c r="AF124" s="5"/>
      <c r="AG124" s="5" t="s">
        <v>505</v>
      </c>
      <c r="AH124" s="19" t="s">
        <v>506</v>
      </c>
    </row>
    <row r="125" spans="2:34" x14ac:dyDescent="0.3">
      <c r="B125" s="337"/>
      <c r="C125" s="305"/>
      <c r="D125" s="275"/>
      <c r="E125" s="282"/>
      <c r="F125" s="300"/>
      <c r="G125" s="5" t="s">
        <v>99</v>
      </c>
      <c r="H125" s="5" t="s">
        <v>565</v>
      </c>
      <c r="I125" s="235"/>
      <c r="J125" s="5" t="s">
        <v>76</v>
      </c>
      <c r="K125" s="5" t="s">
        <v>90</v>
      </c>
      <c r="L125" s="294"/>
      <c r="M125" s="285"/>
      <c r="N125" s="294"/>
      <c r="O125" s="294"/>
      <c r="P125" s="294"/>
      <c r="Q125" s="294"/>
      <c r="R125" s="294"/>
      <c r="S125" s="282"/>
      <c r="T125" s="276"/>
      <c r="U125" s="282"/>
      <c r="V125" s="282"/>
      <c r="W125" s="282"/>
      <c r="X125" s="282"/>
      <c r="Y125" s="282"/>
      <c r="Z125" s="282"/>
      <c r="AA125" s="282"/>
      <c r="AB125" s="282"/>
      <c r="AC125" s="5" t="s">
        <v>614</v>
      </c>
      <c r="AD125" s="5" t="s">
        <v>615</v>
      </c>
      <c r="AE125" s="5" t="s">
        <v>616</v>
      </c>
      <c r="AF125" s="5"/>
      <c r="AG125" s="5" t="s">
        <v>510</v>
      </c>
      <c r="AH125" s="19" t="s">
        <v>511</v>
      </c>
    </row>
    <row r="126" spans="2:34" x14ac:dyDescent="0.3">
      <c r="B126" s="337"/>
      <c r="C126" s="305"/>
      <c r="D126" s="275"/>
      <c r="E126" s="282"/>
      <c r="F126" s="300"/>
      <c r="G126" s="5" t="s">
        <v>101</v>
      </c>
      <c r="H126" s="5" t="s">
        <v>566</v>
      </c>
      <c r="I126" s="235"/>
      <c r="J126" s="5" t="s">
        <v>76</v>
      </c>
      <c r="K126" s="5">
        <v>5</v>
      </c>
      <c r="L126" s="294"/>
      <c r="M126" s="285"/>
      <c r="N126" s="294"/>
      <c r="O126" s="294"/>
      <c r="P126" s="294"/>
      <c r="Q126" s="294"/>
      <c r="R126" s="294"/>
      <c r="S126" s="282"/>
      <c r="T126" s="276"/>
      <c r="U126" s="282"/>
      <c r="V126" s="282"/>
      <c r="W126" s="282"/>
      <c r="X126" s="282"/>
      <c r="Y126" s="282"/>
      <c r="Z126" s="282"/>
      <c r="AA126" s="282"/>
      <c r="AB126" s="282"/>
      <c r="AC126" s="5" t="s">
        <v>617</v>
      </c>
      <c r="AD126" s="5" t="s">
        <v>618</v>
      </c>
      <c r="AE126" s="5" t="s">
        <v>619</v>
      </c>
      <c r="AF126" s="5"/>
      <c r="AG126" s="5" t="s">
        <v>514</v>
      </c>
      <c r="AH126" s="19" t="s">
        <v>515</v>
      </c>
    </row>
    <row r="127" spans="2:34" x14ac:dyDescent="0.3">
      <c r="B127" s="337"/>
      <c r="C127" s="305"/>
      <c r="D127" s="275"/>
      <c r="E127" s="282"/>
      <c r="F127" s="300"/>
      <c r="G127" s="5" t="s">
        <v>103</v>
      </c>
      <c r="H127" s="5">
        <v>9</v>
      </c>
      <c r="I127" s="235"/>
      <c r="J127" s="5" t="s">
        <v>76</v>
      </c>
      <c r="K127" s="5" t="s">
        <v>93</v>
      </c>
      <c r="L127" s="294"/>
      <c r="M127" s="285"/>
      <c r="N127" s="294"/>
      <c r="O127" s="294"/>
      <c r="P127" s="294"/>
      <c r="Q127" s="294"/>
      <c r="R127" s="294"/>
      <c r="S127" s="282"/>
      <c r="T127" s="276"/>
      <c r="U127" s="282"/>
      <c r="V127" s="282"/>
      <c r="W127" s="282"/>
      <c r="X127" s="282"/>
      <c r="Y127" s="282"/>
      <c r="Z127" s="282"/>
      <c r="AA127" s="282"/>
      <c r="AB127" s="282"/>
      <c r="AC127" s="5" t="s">
        <v>620</v>
      </c>
      <c r="AD127" s="5" t="s">
        <v>473</v>
      </c>
      <c r="AE127" s="5" t="s">
        <v>473</v>
      </c>
      <c r="AF127" s="5"/>
      <c r="AG127" s="5" t="s">
        <v>517</v>
      </c>
      <c r="AH127" s="19" t="s">
        <v>518</v>
      </c>
    </row>
    <row r="128" spans="2:34" x14ac:dyDescent="0.3">
      <c r="B128" s="337"/>
      <c r="C128" s="305"/>
      <c r="D128" s="275"/>
      <c r="E128" s="282"/>
      <c r="F128" s="300"/>
      <c r="G128" s="5" t="s">
        <v>105</v>
      </c>
      <c r="H128" s="5" t="s">
        <v>567</v>
      </c>
      <c r="I128" s="235"/>
      <c r="J128" s="5" t="s">
        <v>76</v>
      </c>
      <c r="K128" s="5" t="s">
        <v>93</v>
      </c>
      <c r="L128" s="294"/>
      <c r="M128" s="285"/>
      <c r="N128" s="294"/>
      <c r="O128" s="294"/>
      <c r="P128" s="294"/>
      <c r="Q128" s="294"/>
      <c r="R128" s="294"/>
      <c r="S128" s="282"/>
      <c r="T128" s="276"/>
      <c r="U128" s="282"/>
      <c r="V128" s="282"/>
      <c r="W128" s="282"/>
      <c r="X128" s="282"/>
      <c r="Y128" s="282"/>
      <c r="Z128" s="282"/>
      <c r="AA128" s="282"/>
      <c r="AB128" s="282"/>
      <c r="AC128" s="5" t="s">
        <v>217</v>
      </c>
      <c r="AD128" s="5" t="s">
        <v>621</v>
      </c>
      <c r="AE128" s="5" t="s">
        <v>622</v>
      </c>
      <c r="AF128" s="5"/>
      <c r="AG128" s="5" t="s">
        <v>522</v>
      </c>
      <c r="AH128" s="19" t="s">
        <v>523</v>
      </c>
    </row>
    <row r="129" spans="2:34" x14ac:dyDescent="0.3">
      <c r="B129" s="337"/>
      <c r="C129" s="305"/>
      <c r="D129" s="275"/>
      <c r="E129" s="282"/>
      <c r="F129" s="300"/>
      <c r="G129" s="5" t="s">
        <v>107</v>
      </c>
      <c r="H129" s="5" t="s">
        <v>568</v>
      </c>
      <c r="I129" s="235"/>
      <c r="J129" s="5" t="s">
        <v>76</v>
      </c>
      <c r="K129" s="5" t="s">
        <v>93</v>
      </c>
      <c r="L129" s="294"/>
      <c r="M129" s="285"/>
      <c r="N129" s="294"/>
      <c r="O129" s="294"/>
      <c r="P129" s="294"/>
      <c r="Q129" s="294"/>
      <c r="R129" s="294"/>
      <c r="S129" s="282"/>
      <c r="T129" s="276"/>
      <c r="U129" s="282"/>
      <c r="V129" s="282"/>
      <c r="W129" s="282"/>
      <c r="X129" s="282"/>
      <c r="Y129" s="282"/>
      <c r="Z129" s="282"/>
      <c r="AA129" s="282"/>
      <c r="AB129" s="282"/>
      <c r="AC129" s="5" t="s">
        <v>623</v>
      </c>
      <c r="AD129" s="5" t="s">
        <v>473</v>
      </c>
      <c r="AE129" s="5" t="s">
        <v>473</v>
      </c>
      <c r="AF129" s="5"/>
      <c r="AG129" s="5" t="s">
        <v>525</v>
      </c>
      <c r="AH129" s="19" t="s">
        <v>526</v>
      </c>
    </row>
    <row r="130" spans="2:34" x14ac:dyDescent="0.3">
      <c r="B130" s="337"/>
      <c r="C130" s="305"/>
      <c r="D130" s="275"/>
      <c r="E130" s="282"/>
      <c r="F130" s="300"/>
      <c r="G130" s="5" t="s">
        <v>151</v>
      </c>
      <c r="H130" s="5" t="s">
        <v>569</v>
      </c>
      <c r="I130" s="235"/>
      <c r="J130" s="5" t="s">
        <v>76</v>
      </c>
      <c r="K130" s="5" t="s">
        <v>93</v>
      </c>
      <c r="L130" s="294"/>
      <c r="M130" s="285"/>
      <c r="N130" s="294"/>
      <c r="O130" s="294"/>
      <c r="P130" s="294"/>
      <c r="Q130" s="294"/>
      <c r="R130" s="294"/>
      <c r="S130" s="282"/>
      <c r="T130" s="276"/>
      <c r="U130" s="282"/>
      <c r="V130" s="282"/>
      <c r="W130" s="282"/>
      <c r="X130" s="282"/>
      <c r="Y130" s="282"/>
      <c r="Z130" s="282"/>
      <c r="AA130" s="282"/>
      <c r="AB130" s="282"/>
      <c r="AC130" s="5" t="s">
        <v>268</v>
      </c>
      <c r="AD130" s="5" t="s">
        <v>473</v>
      </c>
      <c r="AE130" s="5" t="s">
        <v>473</v>
      </c>
      <c r="AF130" s="5"/>
      <c r="AG130" s="5" t="s">
        <v>528</v>
      </c>
      <c r="AH130" s="19" t="s">
        <v>529</v>
      </c>
    </row>
    <row r="131" spans="2:34" x14ac:dyDescent="0.3">
      <c r="B131" s="337"/>
      <c r="C131" s="305"/>
      <c r="D131" s="275"/>
      <c r="E131" s="282"/>
      <c r="F131" s="300"/>
      <c r="G131" s="5" t="s">
        <v>364</v>
      </c>
      <c r="H131" s="5" t="s">
        <v>570</v>
      </c>
      <c r="I131" s="235"/>
      <c r="J131" s="5" t="s">
        <v>76</v>
      </c>
      <c r="K131" s="5" t="s">
        <v>93</v>
      </c>
      <c r="L131" s="294"/>
      <c r="M131" s="285"/>
      <c r="N131" s="294"/>
      <c r="O131" s="294"/>
      <c r="P131" s="294"/>
      <c r="Q131" s="294"/>
      <c r="R131" s="294"/>
      <c r="S131" s="282"/>
      <c r="T131" s="276"/>
      <c r="U131" s="282"/>
      <c r="V131" s="282"/>
      <c r="W131" s="282"/>
      <c r="X131" s="282"/>
      <c r="Y131" s="282"/>
      <c r="Z131" s="282"/>
      <c r="AA131" s="282"/>
      <c r="AB131" s="282"/>
      <c r="AC131" s="5" t="s">
        <v>624</v>
      </c>
      <c r="AD131" s="5" t="s">
        <v>473</v>
      </c>
      <c r="AE131" s="5" t="s">
        <v>473</v>
      </c>
      <c r="AF131" s="5"/>
      <c r="AG131" s="5" t="s">
        <v>473</v>
      </c>
      <c r="AH131" s="19" t="s">
        <v>473</v>
      </c>
    </row>
    <row r="132" spans="2:34" x14ac:dyDescent="0.3">
      <c r="B132" s="337"/>
      <c r="C132" s="305"/>
      <c r="D132" s="275"/>
      <c r="E132" s="282"/>
      <c r="F132" s="300"/>
      <c r="G132" s="5" t="s">
        <v>113</v>
      </c>
      <c r="H132" s="5">
        <v>57</v>
      </c>
      <c r="I132" s="235"/>
      <c r="J132" s="5" t="s">
        <v>76</v>
      </c>
      <c r="K132" s="5" t="s">
        <v>93</v>
      </c>
      <c r="L132" s="294"/>
      <c r="M132" s="285"/>
      <c r="N132" s="294"/>
      <c r="O132" s="294"/>
      <c r="P132" s="294"/>
      <c r="Q132" s="294"/>
      <c r="R132" s="294"/>
      <c r="S132" s="282"/>
      <c r="T132" s="276"/>
      <c r="U132" s="282"/>
      <c r="V132" s="282"/>
      <c r="W132" s="282"/>
      <c r="X132" s="282"/>
      <c r="Y132" s="282"/>
      <c r="Z132" s="282"/>
      <c r="AA132" s="282"/>
      <c r="AB132" s="282"/>
      <c r="AC132" s="5" t="s">
        <v>625</v>
      </c>
      <c r="AD132" s="5" t="s">
        <v>473</v>
      </c>
      <c r="AE132" s="5" t="s">
        <v>473</v>
      </c>
      <c r="AF132" s="5"/>
      <c r="AG132" s="5" t="s">
        <v>531</v>
      </c>
      <c r="AH132" s="19" t="s">
        <v>532</v>
      </c>
    </row>
    <row r="133" spans="2:34" x14ac:dyDescent="0.3">
      <c r="B133" s="337"/>
      <c r="C133" s="305"/>
      <c r="D133" s="275"/>
      <c r="E133" s="282"/>
      <c r="F133" s="300"/>
      <c r="G133" s="5" t="s">
        <v>115</v>
      </c>
      <c r="H133" s="5">
        <v>102</v>
      </c>
      <c r="I133" s="235"/>
      <c r="J133" s="5" t="s">
        <v>76</v>
      </c>
      <c r="K133" s="5">
        <v>5</v>
      </c>
      <c r="L133" s="294"/>
      <c r="M133" s="285"/>
      <c r="N133" s="294"/>
      <c r="O133" s="294"/>
      <c r="P133" s="294"/>
      <c r="Q133" s="294"/>
      <c r="R133" s="294"/>
      <c r="S133" s="282"/>
      <c r="T133" s="276"/>
      <c r="U133" s="282"/>
      <c r="V133" s="282"/>
      <c r="W133" s="282"/>
      <c r="X133" s="282"/>
      <c r="Y133" s="282"/>
      <c r="Z133" s="282"/>
      <c r="AA133" s="282"/>
      <c r="AB133" s="282"/>
      <c r="AC133" s="5" t="s">
        <v>626</v>
      </c>
      <c r="AD133" s="5" t="s">
        <v>627</v>
      </c>
      <c r="AE133" s="5" t="s">
        <v>607</v>
      </c>
      <c r="AF133" s="5"/>
      <c r="AG133" s="5" t="s">
        <v>536</v>
      </c>
      <c r="AH133" s="19" t="s">
        <v>537</v>
      </c>
    </row>
    <row r="134" spans="2:34" x14ac:dyDescent="0.3">
      <c r="B134" s="337"/>
      <c r="C134" s="305"/>
      <c r="D134" s="275"/>
      <c r="E134" s="282"/>
      <c r="F134" s="300"/>
      <c r="G134" s="5" t="s">
        <v>117</v>
      </c>
      <c r="H134" s="5" t="s">
        <v>571</v>
      </c>
      <c r="I134" s="235"/>
      <c r="J134" s="5" t="s">
        <v>76</v>
      </c>
      <c r="K134" s="5">
        <v>5</v>
      </c>
      <c r="L134" s="294"/>
      <c r="M134" s="285"/>
      <c r="N134" s="294"/>
      <c r="O134" s="294"/>
      <c r="P134" s="294"/>
      <c r="Q134" s="294"/>
      <c r="R134" s="294"/>
      <c r="S134" s="282"/>
      <c r="T134" s="276"/>
      <c r="U134" s="282"/>
      <c r="V134" s="282"/>
      <c r="W134" s="282"/>
      <c r="X134" s="282"/>
      <c r="Y134" s="282"/>
      <c r="Z134" s="282"/>
      <c r="AA134" s="282"/>
      <c r="AB134" s="282"/>
      <c r="AC134" s="5" t="s">
        <v>628</v>
      </c>
      <c r="AD134" s="5" t="s">
        <v>629</v>
      </c>
      <c r="AE134" s="5" t="s">
        <v>630</v>
      </c>
      <c r="AF134" s="5"/>
      <c r="AG134" s="5" t="s">
        <v>541</v>
      </c>
      <c r="AH134" s="19" t="s">
        <v>542</v>
      </c>
    </row>
    <row r="135" spans="2:34" x14ac:dyDescent="0.3">
      <c r="B135" s="337"/>
      <c r="C135" s="305"/>
      <c r="D135" s="275"/>
      <c r="E135" s="282"/>
      <c r="F135" s="300"/>
      <c r="G135" s="5" t="s">
        <v>173</v>
      </c>
      <c r="H135" s="5" t="s">
        <v>572</v>
      </c>
      <c r="I135" s="235"/>
      <c r="J135" s="5" t="s">
        <v>76</v>
      </c>
      <c r="K135" s="5">
        <v>5</v>
      </c>
      <c r="L135" s="294"/>
      <c r="M135" s="285"/>
      <c r="N135" s="294"/>
      <c r="O135" s="294"/>
      <c r="P135" s="294"/>
      <c r="Q135" s="294"/>
      <c r="R135" s="294"/>
      <c r="S135" s="282"/>
      <c r="T135" s="276"/>
      <c r="U135" s="282"/>
      <c r="V135" s="282"/>
      <c r="W135" s="282"/>
      <c r="X135" s="282"/>
      <c r="Y135" s="282"/>
      <c r="Z135" s="282"/>
      <c r="AA135" s="282"/>
      <c r="AB135" s="282"/>
      <c r="AC135" s="5" t="s">
        <v>631</v>
      </c>
      <c r="AD135" s="5" t="s">
        <v>632</v>
      </c>
      <c r="AE135" s="5" t="s">
        <v>633</v>
      </c>
      <c r="AF135" s="5"/>
      <c r="AG135" s="5" t="s">
        <v>634</v>
      </c>
      <c r="AH135" s="19" t="s">
        <v>635</v>
      </c>
    </row>
    <row r="136" spans="2:34" x14ac:dyDescent="0.3">
      <c r="B136" s="337"/>
      <c r="C136" s="305"/>
      <c r="D136" s="275"/>
      <c r="E136" s="282"/>
      <c r="F136" s="300"/>
      <c r="G136" s="6" t="s">
        <v>119</v>
      </c>
      <c r="H136" s="5">
        <v>155</v>
      </c>
      <c r="I136" s="235"/>
      <c r="J136" s="5" t="s">
        <v>76</v>
      </c>
      <c r="K136" s="5">
        <v>5</v>
      </c>
      <c r="L136" s="294"/>
      <c r="M136" s="285"/>
      <c r="N136" s="294"/>
      <c r="O136" s="294"/>
      <c r="P136" s="294"/>
      <c r="Q136" s="294"/>
      <c r="R136" s="294"/>
      <c r="S136" s="282"/>
      <c r="T136" s="276"/>
      <c r="U136" s="282"/>
      <c r="V136" s="282"/>
      <c r="W136" s="282"/>
      <c r="X136" s="282"/>
      <c r="Y136" s="282"/>
      <c r="Z136" s="282"/>
      <c r="AA136" s="282"/>
      <c r="AB136" s="282"/>
      <c r="AC136" s="5" t="s">
        <v>636</v>
      </c>
      <c r="AD136" s="5" t="s">
        <v>637</v>
      </c>
      <c r="AE136" s="5" t="s">
        <v>519</v>
      </c>
      <c r="AF136" s="5"/>
      <c r="AG136" s="5" t="s">
        <v>300</v>
      </c>
      <c r="AH136" s="19" t="s">
        <v>545</v>
      </c>
    </row>
    <row r="137" spans="2:34" x14ac:dyDescent="0.3">
      <c r="B137" s="337"/>
      <c r="C137" s="305"/>
      <c r="D137" s="275"/>
      <c r="E137" s="282"/>
      <c r="F137" s="300"/>
      <c r="G137" s="5" t="s">
        <v>121</v>
      </c>
      <c r="H137" s="5" t="s">
        <v>573</v>
      </c>
      <c r="I137" s="235"/>
      <c r="J137" s="5" t="s">
        <v>76</v>
      </c>
      <c r="K137" s="5" t="s">
        <v>93</v>
      </c>
      <c r="L137" s="294"/>
      <c r="M137" s="285"/>
      <c r="N137" s="294"/>
      <c r="O137" s="294"/>
      <c r="P137" s="294"/>
      <c r="Q137" s="294"/>
      <c r="R137" s="294"/>
      <c r="S137" s="282"/>
      <c r="T137" s="276"/>
      <c r="U137" s="282"/>
      <c r="V137" s="282"/>
      <c r="W137" s="282"/>
      <c r="X137" s="282"/>
      <c r="Y137" s="282"/>
      <c r="Z137" s="282"/>
      <c r="AA137" s="282"/>
      <c r="AB137" s="282"/>
      <c r="AC137" s="5" t="s">
        <v>241</v>
      </c>
      <c r="AD137" s="5" t="s">
        <v>638</v>
      </c>
      <c r="AE137" s="5" t="s">
        <v>639</v>
      </c>
      <c r="AF137" s="5"/>
      <c r="AG137" s="5" t="s">
        <v>290</v>
      </c>
      <c r="AH137" s="19" t="s">
        <v>290</v>
      </c>
    </row>
    <row r="138" spans="2:34" x14ac:dyDescent="0.3">
      <c r="B138" s="337"/>
      <c r="C138" s="305"/>
      <c r="D138" s="275"/>
      <c r="E138" s="282"/>
      <c r="F138" s="300"/>
      <c r="G138" s="5" t="s">
        <v>123</v>
      </c>
      <c r="H138" s="5" t="s">
        <v>574</v>
      </c>
      <c r="I138" s="235"/>
      <c r="J138" s="5" t="s">
        <v>76</v>
      </c>
      <c r="K138" s="5">
        <v>10</v>
      </c>
      <c r="L138" s="294"/>
      <c r="M138" s="285"/>
      <c r="N138" s="294"/>
      <c r="O138" s="294"/>
      <c r="P138" s="294"/>
      <c r="Q138" s="294"/>
      <c r="R138" s="294"/>
      <c r="S138" s="282"/>
      <c r="T138" s="276"/>
      <c r="U138" s="282"/>
      <c r="V138" s="282"/>
      <c r="W138" s="282"/>
      <c r="X138" s="282"/>
      <c r="Y138" s="282"/>
      <c r="Z138" s="282"/>
      <c r="AA138" s="282"/>
      <c r="AB138" s="282"/>
      <c r="AC138" s="5"/>
      <c r="AD138" s="5"/>
      <c r="AE138" s="5"/>
      <c r="AF138" s="5"/>
      <c r="AG138" s="5"/>
      <c r="AH138" s="19" t="s">
        <v>640</v>
      </c>
    </row>
    <row r="139" spans="2:34" x14ac:dyDescent="0.3">
      <c r="B139" s="337"/>
      <c r="C139" s="305"/>
      <c r="D139" s="275"/>
      <c r="E139" s="282"/>
      <c r="F139" s="300"/>
      <c r="G139" s="5" t="s">
        <v>152</v>
      </c>
      <c r="H139" s="5" t="s">
        <v>574</v>
      </c>
      <c r="I139" s="235"/>
      <c r="J139" s="5" t="s">
        <v>575</v>
      </c>
      <c r="K139" s="5"/>
      <c r="L139" s="294"/>
      <c r="M139" s="285"/>
      <c r="N139" s="294"/>
      <c r="O139" s="294"/>
      <c r="P139" s="294"/>
      <c r="Q139" s="294"/>
      <c r="R139" s="294"/>
      <c r="S139" s="282"/>
      <c r="T139" s="276"/>
      <c r="U139" s="282"/>
      <c r="V139" s="282"/>
      <c r="W139" s="282"/>
      <c r="X139" s="282"/>
      <c r="Y139" s="282"/>
      <c r="Z139" s="282"/>
      <c r="AA139" s="282"/>
      <c r="AB139" s="282"/>
      <c r="AC139" s="5" t="s">
        <v>641</v>
      </c>
      <c r="AD139" s="5"/>
      <c r="AE139" s="5"/>
      <c r="AF139" s="5"/>
      <c r="AG139" s="5"/>
      <c r="AH139" s="19" t="s">
        <v>640</v>
      </c>
    </row>
    <row r="140" spans="2:34" x14ac:dyDescent="0.3">
      <c r="B140" s="337"/>
      <c r="C140" s="305"/>
      <c r="D140" s="275"/>
      <c r="E140" s="282"/>
      <c r="F140" s="300"/>
      <c r="G140" s="5" t="s">
        <v>127</v>
      </c>
      <c r="H140" s="5">
        <v>907</v>
      </c>
      <c r="I140" s="235"/>
      <c r="J140" s="5" t="s">
        <v>76</v>
      </c>
      <c r="K140" s="5">
        <v>50</v>
      </c>
      <c r="L140" s="294"/>
      <c r="M140" s="285"/>
      <c r="N140" s="294"/>
      <c r="O140" s="294"/>
      <c r="P140" s="294"/>
      <c r="Q140" s="294"/>
      <c r="R140" s="294"/>
      <c r="S140" s="282"/>
      <c r="T140" s="276"/>
      <c r="U140" s="282"/>
      <c r="V140" s="282"/>
      <c r="W140" s="282"/>
      <c r="X140" s="282"/>
      <c r="Y140" s="282"/>
      <c r="Z140" s="282"/>
      <c r="AA140" s="282"/>
      <c r="AB140" s="282"/>
      <c r="AC140" s="5"/>
      <c r="AD140" s="5"/>
      <c r="AE140" s="5"/>
      <c r="AF140" s="5"/>
      <c r="AG140" s="5"/>
      <c r="AH140" s="19" t="s">
        <v>640</v>
      </c>
    </row>
    <row r="141" spans="2:34" x14ac:dyDescent="0.3">
      <c r="B141" s="337"/>
      <c r="C141" s="305"/>
      <c r="D141" s="275"/>
      <c r="E141" s="282"/>
      <c r="F141" s="300"/>
      <c r="G141" s="5" t="s">
        <v>128</v>
      </c>
      <c r="H141" s="5">
        <v>108</v>
      </c>
      <c r="I141" s="235"/>
      <c r="J141" s="5" t="s">
        <v>576</v>
      </c>
      <c r="K141" s="5"/>
      <c r="L141" s="294"/>
      <c r="M141" s="285"/>
      <c r="N141" s="294"/>
      <c r="O141" s="294"/>
      <c r="P141" s="294"/>
      <c r="Q141" s="294"/>
      <c r="R141" s="294"/>
      <c r="S141" s="282"/>
      <c r="T141" s="276"/>
      <c r="U141" s="282"/>
      <c r="V141" s="282"/>
      <c r="W141" s="282"/>
      <c r="X141" s="282"/>
      <c r="Y141" s="282"/>
      <c r="Z141" s="282"/>
      <c r="AA141" s="282"/>
      <c r="AB141" s="282"/>
      <c r="AC141" s="5" t="s">
        <v>642</v>
      </c>
      <c r="AD141" s="5"/>
      <c r="AE141" s="5"/>
      <c r="AF141" s="5"/>
      <c r="AG141" s="5"/>
      <c r="AH141" s="19" t="s">
        <v>640</v>
      </c>
    </row>
    <row r="142" spans="2:34" x14ac:dyDescent="0.3">
      <c r="B142" s="337"/>
      <c r="C142" s="305"/>
      <c r="D142" s="275"/>
      <c r="E142" s="282"/>
      <c r="F142" s="300"/>
      <c r="G142" s="5" t="s">
        <v>130</v>
      </c>
      <c r="H142" s="5">
        <v>656</v>
      </c>
      <c r="I142" s="235"/>
      <c r="J142" s="5" t="s">
        <v>577</v>
      </c>
      <c r="K142" s="5"/>
      <c r="L142" s="294"/>
      <c r="M142" s="285"/>
      <c r="N142" s="294"/>
      <c r="O142" s="294"/>
      <c r="P142" s="294"/>
      <c r="Q142" s="294"/>
      <c r="R142" s="294"/>
      <c r="S142" s="282"/>
      <c r="T142" s="276"/>
      <c r="U142" s="282"/>
      <c r="V142" s="282"/>
      <c r="W142" s="282"/>
      <c r="X142" s="282"/>
      <c r="Y142" s="282"/>
      <c r="Z142" s="282"/>
      <c r="AA142" s="282"/>
      <c r="AB142" s="282"/>
      <c r="AC142" s="5" t="s">
        <v>643</v>
      </c>
      <c r="AD142" s="5"/>
      <c r="AE142" s="5"/>
      <c r="AF142" s="5"/>
      <c r="AG142" s="5"/>
      <c r="AH142" s="19" t="s">
        <v>640</v>
      </c>
    </row>
    <row r="143" spans="2:34" x14ac:dyDescent="0.3">
      <c r="B143" s="337"/>
      <c r="C143" s="305"/>
      <c r="D143" s="275"/>
      <c r="E143" s="282"/>
      <c r="F143" s="300"/>
      <c r="G143" s="5" t="s">
        <v>132</v>
      </c>
      <c r="H143" s="5">
        <v>143</v>
      </c>
      <c r="I143" s="235"/>
      <c r="J143" s="5" t="s">
        <v>578</v>
      </c>
      <c r="K143" s="5"/>
      <c r="L143" s="294"/>
      <c r="M143" s="285"/>
      <c r="N143" s="294"/>
      <c r="O143" s="294"/>
      <c r="P143" s="294"/>
      <c r="Q143" s="294"/>
      <c r="R143" s="294"/>
      <c r="S143" s="282"/>
      <c r="T143" s="276"/>
      <c r="U143" s="282"/>
      <c r="V143" s="282"/>
      <c r="W143" s="282"/>
      <c r="X143" s="282"/>
      <c r="Y143" s="282"/>
      <c r="Z143" s="282"/>
      <c r="AA143" s="282"/>
      <c r="AB143" s="282"/>
      <c r="AC143" s="5" t="s">
        <v>644</v>
      </c>
      <c r="AD143" s="5"/>
      <c r="AE143" s="5"/>
      <c r="AF143" s="5"/>
      <c r="AG143" s="5"/>
      <c r="AH143" s="19" t="s">
        <v>640</v>
      </c>
    </row>
    <row r="144" spans="2:34" ht="15" thickBot="1" x14ac:dyDescent="0.35">
      <c r="B144" s="365"/>
      <c r="C144" s="358"/>
      <c r="D144" s="360"/>
      <c r="E144" s="234"/>
      <c r="F144" s="300"/>
      <c r="G144" s="6" t="s">
        <v>579</v>
      </c>
      <c r="H144" s="25"/>
      <c r="I144" s="388"/>
      <c r="J144" s="25"/>
      <c r="K144" s="25"/>
      <c r="L144" s="284"/>
      <c r="M144" s="286"/>
      <c r="N144" s="284"/>
      <c r="O144" s="284"/>
      <c r="P144" s="294"/>
      <c r="Q144" s="284"/>
      <c r="R144" s="284"/>
      <c r="S144" s="234"/>
      <c r="T144" s="278"/>
      <c r="U144" s="234"/>
      <c r="V144" s="234"/>
      <c r="W144" s="234"/>
      <c r="X144" s="234"/>
      <c r="Y144" s="234"/>
      <c r="Z144" s="234"/>
      <c r="AA144" s="234"/>
      <c r="AB144" s="234"/>
      <c r="AC144" s="26" t="s">
        <v>645</v>
      </c>
      <c r="AD144" s="26" t="s">
        <v>260</v>
      </c>
      <c r="AE144" s="26" t="s">
        <v>260</v>
      </c>
      <c r="AF144" s="26"/>
      <c r="AG144" s="26" t="s">
        <v>559</v>
      </c>
      <c r="AH144" s="27" t="s">
        <v>560</v>
      </c>
    </row>
    <row r="145" spans="2:34" ht="14.4" customHeight="1" x14ac:dyDescent="0.3">
      <c r="B145" s="307" t="s">
        <v>646</v>
      </c>
      <c r="C145" s="341" t="s">
        <v>6</v>
      </c>
      <c r="D145" s="395" t="s">
        <v>647</v>
      </c>
      <c r="E145" s="329" t="s">
        <v>923</v>
      </c>
      <c r="F145" s="426" t="s">
        <v>11</v>
      </c>
      <c r="G145" s="10" t="s">
        <v>648</v>
      </c>
      <c r="H145" s="43">
        <v>76</v>
      </c>
      <c r="I145" s="389" t="s">
        <v>1064</v>
      </c>
      <c r="J145" s="43" t="s">
        <v>76</v>
      </c>
      <c r="K145" s="43">
        <v>10</v>
      </c>
      <c r="L145" s="312" t="s">
        <v>1060</v>
      </c>
      <c r="M145" s="312" t="s">
        <v>845</v>
      </c>
      <c r="N145" s="312" t="s">
        <v>1039</v>
      </c>
      <c r="O145" s="344" t="s">
        <v>1089</v>
      </c>
      <c r="P145" s="344" t="s">
        <v>1000</v>
      </c>
      <c r="Q145" s="312" t="s">
        <v>669</v>
      </c>
      <c r="R145" s="312" t="s">
        <v>670</v>
      </c>
      <c r="S145" s="389" t="s">
        <v>993</v>
      </c>
      <c r="T145" s="426" t="s">
        <v>1092</v>
      </c>
      <c r="U145" s="329" t="s">
        <v>668</v>
      </c>
      <c r="V145" s="329"/>
      <c r="W145" s="329"/>
      <c r="X145" s="329"/>
      <c r="Y145" s="329"/>
      <c r="Z145" s="329"/>
      <c r="AA145" s="43" t="s">
        <v>150</v>
      </c>
      <c r="AB145" s="43" t="s">
        <v>150</v>
      </c>
      <c r="AC145" s="43" t="s">
        <v>671</v>
      </c>
      <c r="AD145" s="43" t="s">
        <v>473</v>
      </c>
      <c r="AE145" s="43" t="s">
        <v>473</v>
      </c>
      <c r="AF145" s="43"/>
      <c r="AG145" s="43" t="s">
        <v>672</v>
      </c>
      <c r="AH145" s="44" t="s">
        <v>672</v>
      </c>
    </row>
    <row r="146" spans="2:34" x14ac:dyDescent="0.3">
      <c r="B146" s="307"/>
      <c r="C146" s="342"/>
      <c r="D146" s="308"/>
      <c r="E146" s="330"/>
      <c r="F146" s="427"/>
      <c r="G146" s="10" t="s">
        <v>75</v>
      </c>
      <c r="H146" s="10">
        <v>135</v>
      </c>
      <c r="I146" s="390"/>
      <c r="J146" s="10" t="s">
        <v>76</v>
      </c>
      <c r="K146" s="10">
        <v>29</v>
      </c>
      <c r="L146" s="313"/>
      <c r="M146" s="313"/>
      <c r="N146" s="313"/>
      <c r="O146" s="313"/>
      <c r="P146" s="313"/>
      <c r="Q146" s="313"/>
      <c r="R146" s="313"/>
      <c r="S146" s="390"/>
      <c r="T146" s="454"/>
      <c r="U146" s="330"/>
      <c r="V146" s="330"/>
      <c r="W146" s="330"/>
      <c r="X146" s="330"/>
      <c r="Y146" s="330"/>
      <c r="Z146" s="330"/>
      <c r="AA146" s="10" t="s">
        <v>150</v>
      </c>
      <c r="AB146" s="10" t="s">
        <v>150</v>
      </c>
      <c r="AC146" s="10" t="s">
        <v>673</v>
      </c>
      <c r="AD146" s="10" t="s">
        <v>674</v>
      </c>
      <c r="AE146" s="10" t="s">
        <v>675</v>
      </c>
      <c r="AF146" s="10"/>
      <c r="AG146" s="10" t="s">
        <v>446</v>
      </c>
      <c r="AH146" s="45" t="s">
        <v>676</v>
      </c>
    </row>
    <row r="147" spans="2:34" x14ac:dyDescent="0.3">
      <c r="B147" s="307"/>
      <c r="C147" s="342"/>
      <c r="D147" s="308"/>
      <c r="E147" s="330"/>
      <c r="F147" s="427"/>
      <c r="G147" s="10" t="s">
        <v>77</v>
      </c>
      <c r="H147" s="10">
        <v>5</v>
      </c>
      <c r="I147" s="390"/>
      <c r="J147" s="10" t="s">
        <v>76</v>
      </c>
      <c r="K147" s="10">
        <v>2</v>
      </c>
      <c r="L147" s="313"/>
      <c r="M147" s="313"/>
      <c r="N147" s="313"/>
      <c r="O147" s="313"/>
      <c r="P147" s="313"/>
      <c r="Q147" s="313"/>
      <c r="R147" s="313"/>
      <c r="S147" s="390"/>
      <c r="T147" s="454"/>
      <c r="U147" s="330"/>
      <c r="V147" s="330"/>
      <c r="W147" s="330"/>
      <c r="X147" s="330"/>
      <c r="Y147" s="330"/>
      <c r="Z147" s="330"/>
      <c r="AA147" s="10" t="s">
        <v>150</v>
      </c>
      <c r="AB147" s="10" t="s">
        <v>150</v>
      </c>
      <c r="AC147" s="10" t="s">
        <v>612</v>
      </c>
      <c r="AD147" s="10" t="s">
        <v>677</v>
      </c>
      <c r="AE147" s="10" t="s">
        <v>678</v>
      </c>
      <c r="AF147" s="10"/>
      <c r="AG147" s="10" t="s">
        <v>186</v>
      </c>
      <c r="AH147" s="45" t="s">
        <v>187</v>
      </c>
    </row>
    <row r="148" spans="2:34" x14ac:dyDescent="0.3">
      <c r="B148" s="307"/>
      <c r="C148" s="342"/>
      <c r="D148" s="308"/>
      <c r="E148" s="330"/>
      <c r="F148" s="427"/>
      <c r="G148" s="10" t="s">
        <v>361</v>
      </c>
      <c r="H148" s="10">
        <v>3620</v>
      </c>
      <c r="I148" s="390"/>
      <c r="J148" s="10" t="s">
        <v>76</v>
      </c>
      <c r="K148" s="10">
        <v>150</v>
      </c>
      <c r="L148" s="313"/>
      <c r="M148" s="313"/>
      <c r="N148" s="313"/>
      <c r="O148" s="313"/>
      <c r="P148" s="313"/>
      <c r="Q148" s="313"/>
      <c r="R148" s="313"/>
      <c r="S148" s="390"/>
      <c r="T148" s="454"/>
      <c r="U148" s="330"/>
      <c r="V148" s="330"/>
      <c r="W148" s="330"/>
      <c r="X148" s="330"/>
      <c r="Y148" s="330"/>
      <c r="Z148" s="330"/>
      <c r="AA148" s="10" t="s">
        <v>150</v>
      </c>
      <c r="AB148" s="10" t="s">
        <v>150</v>
      </c>
      <c r="AC148" s="10" t="s">
        <v>347</v>
      </c>
      <c r="AD148" s="10" t="s">
        <v>679</v>
      </c>
      <c r="AE148" s="10" t="s">
        <v>680</v>
      </c>
      <c r="AF148" s="10"/>
      <c r="AG148" s="10" t="s">
        <v>681</v>
      </c>
      <c r="AH148" s="45" t="s">
        <v>682</v>
      </c>
    </row>
    <row r="149" spans="2:34" x14ac:dyDescent="0.3">
      <c r="B149" s="307"/>
      <c r="C149" s="342"/>
      <c r="D149" s="308"/>
      <c r="E149" s="330"/>
      <c r="F149" s="427"/>
      <c r="G149" s="10" t="s">
        <v>649</v>
      </c>
      <c r="H149" s="10">
        <v>123</v>
      </c>
      <c r="I149" s="390"/>
      <c r="J149" s="10" t="s">
        <v>76</v>
      </c>
      <c r="K149" s="10">
        <v>120</v>
      </c>
      <c r="L149" s="313"/>
      <c r="M149" s="313"/>
      <c r="N149" s="313"/>
      <c r="O149" s="313"/>
      <c r="P149" s="313"/>
      <c r="Q149" s="313"/>
      <c r="R149" s="313"/>
      <c r="S149" s="390"/>
      <c r="T149" s="454"/>
      <c r="U149" s="330"/>
      <c r="V149" s="330"/>
      <c r="W149" s="330"/>
      <c r="X149" s="330"/>
      <c r="Y149" s="330"/>
      <c r="Z149" s="330"/>
      <c r="AA149" s="10" t="s">
        <v>150</v>
      </c>
      <c r="AB149" s="10" t="s">
        <v>150</v>
      </c>
      <c r="AC149" s="10" t="s">
        <v>683</v>
      </c>
      <c r="AD149" s="10" t="s">
        <v>684</v>
      </c>
      <c r="AE149" s="10" t="s">
        <v>685</v>
      </c>
      <c r="AF149" s="10"/>
      <c r="AG149" s="10" t="s">
        <v>682</v>
      </c>
      <c r="AH149" s="45" t="s">
        <v>686</v>
      </c>
    </row>
    <row r="150" spans="2:34" x14ac:dyDescent="0.3">
      <c r="B150" s="307"/>
      <c r="C150" s="342"/>
      <c r="D150" s="308"/>
      <c r="E150" s="330"/>
      <c r="F150" s="427"/>
      <c r="G150" s="10" t="s">
        <v>362</v>
      </c>
      <c r="H150" s="10" t="s">
        <v>650</v>
      </c>
      <c r="I150" s="390"/>
      <c r="J150" s="10" t="s">
        <v>375</v>
      </c>
      <c r="K150" s="10">
        <v>1</v>
      </c>
      <c r="L150" s="313"/>
      <c r="M150" s="313"/>
      <c r="N150" s="313"/>
      <c r="O150" s="313"/>
      <c r="P150" s="313"/>
      <c r="Q150" s="313"/>
      <c r="R150" s="313"/>
      <c r="S150" s="390"/>
      <c r="T150" s="454"/>
      <c r="U150" s="330"/>
      <c r="V150" s="330"/>
      <c r="W150" s="330"/>
      <c r="X150" s="330"/>
      <c r="Y150" s="330"/>
      <c r="Z150" s="330"/>
      <c r="AA150" s="10" t="s">
        <v>150</v>
      </c>
      <c r="AB150" s="10" t="s">
        <v>687</v>
      </c>
      <c r="AC150" s="10" t="s">
        <v>688</v>
      </c>
      <c r="AD150" s="10" t="s">
        <v>689</v>
      </c>
      <c r="AE150" s="10" t="s">
        <v>690</v>
      </c>
      <c r="AF150" s="10"/>
      <c r="AG150" s="10" t="s">
        <v>691</v>
      </c>
      <c r="AH150" s="45" t="s">
        <v>692</v>
      </c>
    </row>
    <row r="151" spans="2:34" x14ac:dyDescent="0.3">
      <c r="B151" s="307"/>
      <c r="C151" s="342"/>
      <c r="D151" s="308"/>
      <c r="E151" s="330"/>
      <c r="F151" s="427"/>
      <c r="G151" s="10" t="s">
        <v>651</v>
      </c>
      <c r="H151" s="10">
        <v>1065</v>
      </c>
      <c r="I151" s="390"/>
      <c r="J151" s="10" t="s">
        <v>76</v>
      </c>
      <c r="K151" s="10">
        <v>120</v>
      </c>
      <c r="L151" s="313"/>
      <c r="M151" s="313"/>
      <c r="N151" s="313"/>
      <c r="O151" s="313"/>
      <c r="P151" s="313"/>
      <c r="Q151" s="313"/>
      <c r="R151" s="313"/>
      <c r="S151" s="390"/>
      <c r="T151" s="454"/>
      <c r="U151" s="330"/>
      <c r="V151" s="330"/>
      <c r="W151" s="330"/>
      <c r="X151" s="330"/>
      <c r="Y151" s="330"/>
      <c r="Z151" s="330"/>
      <c r="AA151" s="10" t="s">
        <v>150</v>
      </c>
      <c r="AB151" s="10" t="s">
        <v>150</v>
      </c>
      <c r="AC151" s="10" t="s">
        <v>693</v>
      </c>
      <c r="AD151" s="10" t="s">
        <v>694</v>
      </c>
      <c r="AE151" s="10" t="s">
        <v>695</v>
      </c>
      <c r="AF151" s="10"/>
      <c r="AG151" s="10" t="s">
        <v>696</v>
      </c>
      <c r="AH151" s="45" t="s">
        <v>697</v>
      </c>
    </row>
    <row r="152" spans="2:34" x14ac:dyDescent="0.3">
      <c r="B152" s="307"/>
      <c r="C152" s="342"/>
      <c r="D152" s="308"/>
      <c r="E152" s="330"/>
      <c r="F152" s="427"/>
      <c r="G152" s="10" t="s">
        <v>80</v>
      </c>
      <c r="H152" s="10">
        <v>1268</v>
      </c>
      <c r="I152" s="390"/>
      <c r="J152" s="10" t="s">
        <v>76</v>
      </c>
      <c r="K152" s="10">
        <v>103</v>
      </c>
      <c r="L152" s="313"/>
      <c r="M152" s="313"/>
      <c r="N152" s="313"/>
      <c r="O152" s="313"/>
      <c r="P152" s="313"/>
      <c r="Q152" s="313"/>
      <c r="R152" s="313"/>
      <c r="S152" s="390"/>
      <c r="T152" s="454"/>
      <c r="U152" s="330"/>
      <c r="V152" s="330"/>
      <c r="W152" s="330"/>
      <c r="X152" s="330"/>
      <c r="Y152" s="330"/>
      <c r="Z152" s="330"/>
      <c r="AA152" s="10" t="s">
        <v>150</v>
      </c>
      <c r="AB152" s="10" t="s">
        <v>150</v>
      </c>
      <c r="AC152" s="10" t="s">
        <v>698</v>
      </c>
      <c r="AD152" s="10" t="s">
        <v>699</v>
      </c>
      <c r="AE152" s="10" t="s">
        <v>200</v>
      </c>
      <c r="AF152" s="10"/>
      <c r="AG152" s="10" t="s">
        <v>465</v>
      </c>
      <c r="AH152" s="45" t="s">
        <v>700</v>
      </c>
    </row>
    <row r="153" spans="2:34" x14ac:dyDescent="0.3">
      <c r="B153" s="307"/>
      <c r="C153" s="342"/>
      <c r="D153" s="308"/>
      <c r="E153" s="330"/>
      <c r="F153" s="427"/>
      <c r="G153" s="10" t="s">
        <v>171</v>
      </c>
      <c r="H153" s="10">
        <v>975</v>
      </c>
      <c r="I153" s="390"/>
      <c r="J153" s="10" t="s">
        <v>76</v>
      </c>
      <c r="K153" s="10">
        <v>120</v>
      </c>
      <c r="L153" s="313"/>
      <c r="M153" s="313"/>
      <c r="N153" s="313"/>
      <c r="O153" s="313"/>
      <c r="P153" s="313"/>
      <c r="Q153" s="313"/>
      <c r="R153" s="313"/>
      <c r="S153" s="390"/>
      <c r="T153" s="454"/>
      <c r="U153" s="330"/>
      <c r="V153" s="330"/>
      <c r="W153" s="330"/>
      <c r="X153" s="330"/>
      <c r="Y153" s="330"/>
      <c r="Z153" s="330"/>
      <c r="AA153" s="10" t="s">
        <v>150</v>
      </c>
      <c r="AB153" s="10" t="s">
        <v>150</v>
      </c>
      <c r="AC153" s="10" t="s">
        <v>701</v>
      </c>
      <c r="AD153" s="10" t="s">
        <v>702</v>
      </c>
      <c r="AE153" s="10" t="s">
        <v>703</v>
      </c>
      <c r="AF153" s="10"/>
      <c r="AG153" s="10" t="s">
        <v>470</v>
      </c>
      <c r="AH153" s="45" t="s">
        <v>704</v>
      </c>
    </row>
    <row r="154" spans="2:34" x14ac:dyDescent="0.3">
      <c r="B154" s="307"/>
      <c r="C154" s="342"/>
      <c r="D154" s="308"/>
      <c r="E154" s="330"/>
      <c r="F154" s="427"/>
      <c r="G154" s="10" t="s">
        <v>81</v>
      </c>
      <c r="H154" s="10" t="s">
        <v>652</v>
      </c>
      <c r="I154" s="390"/>
      <c r="J154" s="10" t="s">
        <v>76</v>
      </c>
      <c r="K154" s="10">
        <v>3</v>
      </c>
      <c r="L154" s="313"/>
      <c r="M154" s="313"/>
      <c r="N154" s="313"/>
      <c r="O154" s="313"/>
      <c r="P154" s="313"/>
      <c r="Q154" s="313"/>
      <c r="R154" s="313"/>
      <c r="S154" s="390"/>
      <c r="T154" s="454"/>
      <c r="U154" s="330"/>
      <c r="V154" s="330"/>
      <c r="W154" s="330"/>
      <c r="X154" s="330"/>
      <c r="Y154" s="330"/>
      <c r="Z154" s="330"/>
      <c r="AA154" s="10" t="s">
        <v>150</v>
      </c>
      <c r="AB154" s="10" t="s">
        <v>150</v>
      </c>
      <c r="AC154" s="10" t="s">
        <v>705</v>
      </c>
      <c r="AD154" s="10" t="s">
        <v>706</v>
      </c>
      <c r="AE154" s="10" t="s">
        <v>707</v>
      </c>
      <c r="AF154" s="10"/>
      <c r="AG154" s="10" t="s">
        <v>612</v>
      </c>
      <c r="AH154" s="45" t="s">
        <v>708</v>
      </c>
    </row>
    <row r="155" spans="2:34" x14ac:dyDescent="0.3">
      <c r="B155" s="307"/>
      <c r="C155" s="342"/>
      <c r="D155" s="308"/>
      <c r="E155" s="330"/>
      <c r="F155" s="427"/>
      <c r="G155" s="10" t="s">
        <v>363</v>
      </c>
      <c r="H155" s="10">
        <v>389</v>
      </c>
      <c r="I155" s="390"/>
      <c r="J155" s="10" t="s">
        <v>76</v>
      </c>
      <c r="K155" s="10">
        <v>14</v>
      </c>
      <c r="L155" s="313"/>
      <c r="M155" s="313"/>
      <c r="N155" s="313"/>
      <c r="O155" s="313"/>
      <c r="P155" s="313"/>
      <c r="Q155" s="313"/>
      <c r="R155" s="313"/>
      <c r="S155" s="390"/>
      <c r="T155" s="454"/>
      <c r="U155" s="330"/>
      <c r="V155" s="330"/>
      <c r="W155" s="330"/>
      <c r="X155" s="330"/>
      <c r="Y155" s="330"/>
      <c r="Z155" s="330"/>
      <c r="AA155" s="10" t="s">
        <v>150</v>
      </c>
      <c r="AB155" s="10" t="s">
        <v>150</v>
      </c>
      <c r="AC155" s="10" t="s">
        <v>709</v>
      </c>
      <c r="AD155" s="10" t="s">
        <v>473</v>
      </c>
      <c r="AE155" s="10" t="s">
        <v>473</v>
      </c>
      <c r="AF155" s="10"/>
      <c r="AG155" s="10" t="s">
        <v>473</v>
      </c>
      <c r="AH155" s="45" t="s">
        <v>473</v>
      </c>
    </row>
    <row r="156" spans="2:34" x14ac:dyDescent="0.3">
      <c r="B156" s="307"/>
      <c r="C156" s="342"/>
      <c r="D156" s="308"/>
      <c r="E156" s="330"/>
      <c r="F156" s="427"/>
      <c r="G156" s="10" t="s">
        <v>83</v>
      </c>
      <c r="H156" s="10">
        <v>15</v>
      </c>
      <c r="I156" s="390"/>
      <c r="J156" s="10" t="s">
        <v>76</v>
      </c>
      <c r="K156" s="10">
        <v>1</v>
      </c>
      <c r="L156" s="313"/>
      <c r="M156" s="313"/>
      <c r="N156" s="313"/>
      <c r="O156" s="313"/>
      <c r="P156" s="313"/>
      <c r="Q156" s="313"/>
      <c r="R156" s="313"/>
      <c r="S156" s="390"/>
      <c r="T156" s="454"/>
      <c r="U156" s="330"/>
      <c r="V156" s="330"/>
      <c r="W156" s="330"/>
      <c r="X156" s="330"/>
      <c r="Y156" s="330"/>
      <c r="Z156" s="330"/>
      <c r="AA156" s="10" t="s">
        <v>150</v>
      </c>
      <c r="AB156" s="10" t="s">
        <v>150</v>
      </c>
      <c r="AC156" s="10" t="s">
        <v>710</v>
      </c>
      <c r="AD156" s="10" t="s">
        <v>473</v>
      </c>
      <c r="AE156" s="10" t="s">
        <v>473</v>
      </c>
      <c r="AF156" s="10"/>
      <c r="AG156" s="10" t="s">
        <v>473</v>
      </c>
      <c r="AH156" s="45" t="s">
        <v>473</v>
      </c>
    </row>
    <row r="157" spans="2:34" x14ac:dyDescent="0.3">
      <c r="B157" s="307"/>
      <c r="C157" s="342"/>
      <c r="D157" s="308"/>
      <c r="E157" s="330"/>
      <c r="F157" s="427"/>
      <c r="G157" s="10" t="s">
        <v>85</v>
      </c>
      <c r="H157" s="10">
        <v>681</v>
      </c>
      <c r="I157" s="390"/>
      <c r="J157" s="10" t="s">
        <v>76</v>
      </c>
      <c r="K157" s="10">
        <v>100</v>
      </c>
      <c r="L157" s="313"/>
      <c r="M157" s="313"/>
      <c r="N157" s="313"/>
      <c r="O157" s="313"/>
      <c r="P157" s="313"/>
      <c r="Q157" s="313"/>
      <c r="R157" s="313"/>
      <c r="S157" s="390"/>
      <c r="T157" s="454"/>
      <c r="U157" s="330"/>
      <c r="V157" s="330"/>
      <c r="W157" s="330"/>
      <c r="X157" s="330"/>
      <c r="Y157" s="330"/>
      <c r="Z157" s="330"/>
      <c r="AA157" s="10" t="s">
        <v>150</v>
      </c>
      <c r="AB157" s="10" t="s">
        <v>150</v>
      </c>
      <c r="AC157" s="10" t="s">
        <v>711</v>
      </c>
      <c r="AD157" s="10" t="s">
        <v>712</v>
      </c>
      <c r="AE157" s="10" t="s">
        <v>713</v>
      </c>
      <c r="AF157" s="10"/>
      <c r="AG157" s="10" t="s">
        <v>480</v>
      </c>
      <c r="AH157" s="45" t="s">
        <v>714</v>
      </c>
    </row>
    <row r="158" spans="2:34" x14ac:dyDescent="0.3">
      <c r="B158" s="307"/>
      <c r="C158" s="342"/>
      <c r="D158" s="308"/>
      <c r="E158" s="330"/>
      <c r="F158" s="427"/>
      <c r="G158" s="10" t="s">
        <v>86</v>
      </c>
      <c r="H158" s="10">
        <v>1209</v>
      </c>
      <c r="I158" s="390"/>
      <c r="J158" s="10" t="s">
        <v>76</v>
      </c>
      <c r="K158" s="10">
        <v>158</v>
      </c>
      <c r="L158" s="313"/>
      <c r="M158" s="313"/>
      <c r="N158" s="313"/>
      <c r="O158" s="313"/>
      <c r="P158" s="313"/>
      <c r="Q158" s="313"/>
      <c r="R158" s="313"/>
      <c r="S158" s="390"/>
      <c r="T158" s="454"/>
      <c r="U158" s="330"/>
      <c r="V158" s="330"/>
      <c r="W158" s="330"/>
      <c r="X158" s="330"/>
      <c r="Y158" s="330"/>
      <c r="Z158" s="330"/>
      <c r="AA158" s="10" t="s">
        <v>150</v>
      </c>
      <c r="AB158" s="10" t="s">
        <v>150</v>
      </c>
      <c r="AC158" s="10" t="s">
        <v>666</v>
      </c>
      <c r="AD158" s="10" t="s">
        <v>715</v>
      </c>
      <c r="AE158" s="10" t="s">
        <v>716</v>
      </c>
      <c r="AF158" s="10"/>
      <c r="AG158" s="10" t="s">
        <v>717</v>
      </c>
      <c r="AH158" s="45" t="s">
        <v>718</v>
      </c>
    </row>
    <row r="159" spans="2:34" x14ac:dyDescent="0.3">
      <c r="B159" s="307"/>
      <c r="C159" s="342"/>
      <c r="D159" s="308"/>
      <c r="E159" s="330"/>
      <c r="F159" s="427"/>
      <c r="G159" s="10" t="s">
        <v>653</v>
      </c>
      <c r="H159" s="10">
        <v>99</v>
      </c>
      <c r="I159" s="390"/>
      <c r="J159" s="10" t="s">
        <v>76</v>
      </c>
      <c r="K159" s="10" t="s">
        <v>90</v>
      </c>
      <c r="L159" s="313"/>
      <c r="M159" s="313"/>
      <c r="N159" s="313"/>
      <c r="O159" s="313"/>
      <c r="P159" s="313"/>
      <c r="Q159" s="313"/>
      <c r="R159" s="313"/>
      <c r="S159" s="390"/>
      <c r="T159" s="454"/>
      <c r="U159" s="330"/>
      <c r="V159" s="330"/>
      <c r="W159" s="330"/>
      <c r="X159" s="330"/>
      <c r="Y159" s="330"/>
      <c r="Z159" s="330"/>
      <c r="AA159" s="10" t="s">
        <v>150</v>
      </c>
      <c r="AB159" s="10" t="s">
        <v>150</v>
      </c>
      <c r="AC159" s="10" t="s">
        <v>719</v>
      </c>
      <c r="AD159" s="10" t="s">
        <v>473</v>
      </c>
      <c r="AE159" s="10" t="s">
        <v>473</v>
      </c>
      <c r="AF159" s="10"/>
      <c r="AG159" s="10" t="s">
        <v>214</v>
      </c>
      <c r="AH159" s="45" t="s">
        <v>720</v>
      </c>
    </row>
    <row r="160" spans="2:34" x14ac:dyDescent="0.3">
      <c r="B160" s="307"/>
      <c r="C160" s="342"/>
      <c r="D160" s="308"/>
      <c r="E160" s="330"/>
      <c r="F160" s="427"/>
      <c r="G160" s="10" t="s">
        <v>654</v>
      </c>
      <c r="H160" s="10">
        <v>37</v>
      </c>
      <c r="I160" s="390"/>
      <c r="J160" s="10" t="s">
        <v>76</v>
      </c>
      <c r="K160" s="10" t="s">
        <v>93</v>
      </c>
      <c r="L160" s="313"/>
      <c r="M160" s="313"/>
      <c r="N160" s="313"/>
      <c r="O160" s="313"/>
      <c r="P160" s="313"/>
      <c r="Q160" s="313"/>
      <c r="R160" s="313"/>
      <c r="S160" s="390"/>
      <c r="T160" s="454"/>
      <c r="U160" s="330"/>
      <c r="V160" s="330"/>
      <c r="W160" s="330"/>
      <c r="X160" s="330"/>
      <c r="Y160" s="330"/>
      <c r="Z160" s="330"/>
      <c r="AA160" s="10" t="s">
        <v>150</v>
      </c>
      <c r="AB160" s="10" t="s">
        <v>150</v>
      </c>
      <c r="AC160" s="10" t="s">
        <v>721</v>
      </c>
      <c r="AD160" s="10" t="s">
        <v>473</v>
      </c>
      <c r="AE160" s="10" t="s">
        <v>473</v>
      </c>
      <c r="AF160" s="10"/>
      <c r="AG160" s="10" t="s">
        <v>217</v>
      </c>
      <c r="AH160" s="45" t="s">
        <v>722</v>
      </c>
    </row>
    <row r="161" spans="2:34" x14ac:dyDescent="0.3">
      <c r="B161" s="307"/>
      <c r="C161" s="342"/>
      <c r="D161" s="308"/>
      <c r="E161" s="330"/>
      <c r="F161" s="427"/>
      <c r="G161" s="10" t="s">
        <v>655</v>
      </c>
      <c r="H161" s="10">
        <v>136</v>
      </c>
      <c r="I161" s="390"/>
      <c r="J161" s="10" t="s">
        <v>76</v>
      </c>
      <c r="K161" s="10" t="s">
        <v>90</v>
      </c>
      <c r="L161" s="314"/>
      <c r="M161" s="313"/>
      <c r="N161" s="313"/>
      <c r="O161" s="313"/>
      <c r="P161" s="314"/>
      <c r="Q161" s="313"/>
      <c r="R161" s="313"/>
      <c r="S161" s="390"/>
      <c r="T161" s="454"/>
      <c r="U161" s="330"/>
      <c r="V161" s="330"/>
      <c r="W161" s="330"/>
      <c r="X161" s="330"/>
      <c r="Y161" s="330"/>
      <c r="Z161" s="330"/>
      <c r="AA161" s="10" t="s">
        <v>150</v>
      </c>
      <c r="AB161" s="10" t="s">
        <v>150</v>
      </c>
      <c r="AC161" s="10" t="s">
        <v>723</v>
      </c>
      <c r="AD161" s="10" t="s">
        <v>473</v>
      </c>
      <c r="AE161" s="10" t="s">
        <v>473</v>
      </c>
      <c r="AF161" s="10"/>
      <c r="AG161" s="10" t="s">
        <v>221</v>
      </c>
      <c r="AH161" s="45" t="s">
        <v>724</v>
      </c>
    </row>
    <row r="162" spans="2:34" x14ac:dyDescent="0.3">
      <c r="B162" s="307"/>
      <c r="C162" s="342"/>
      <c r="D162" s="308"/>
      <c r="E162" s="330"/>
      <c r="F162" s="427"/>
      <c r="G162" s="10" t="s">
        <v>656</v>
      </c>
      <c r="H162" s="10">
        <v>55</v>
      </c>
      <c r="I162" s="390"/>
      <c r="J162" s="10" t="s">
        <v>76</v>
      </c>
      <c r="K162" s="10" t="s">
        <v>93</v>
      </c>
      <c r="L162" s="344" t="s">
        <v>1031</v>
      </c>
      <c r="M162" s="313"/>
      <c r="N162" s="313"/>
      <c r="O162" s="313"/>
      <c r="P162" s="344" t="s">
        <v>999</v>
      </c>
      <c r="Q162" s="313"/>
      <c r="R162" s="313"/>
      <c r="S162" s="390"/>
      <c r="T162" s="454"/>
      <c r="U162" s="330"/>
      <c r="V162" s="330"/>
      <c r="W162" s="330"/>
      <c r="X162" s="330"/>
      <c r="Y162" s="330"/>
      <c r="Z162" s="330"/>
      <c r="AA162" s="10" t="s">
        <v>150</v>
      </c>
      <c r="AB162" s="10" t="s">
        <v>150</v>
      </c>
      <c r="AC162" s="10" t="s">
        <v>643</v>
      </c>
      <c r="AD162" s="10" t="s">
        <v>473</v>
      </c>
      <c r="AE162" s="10" t="s">
        <v>473</v>
      </c>
      <c r="AF162" s="10"/>
      <c r="AG162" s="10" t="s">
        <v>224</v>
      </c>
      <c r="AH162" s="45" t="s">
        <v>725</v>
      </c>
    </row>
    <row r="163" spans="2:34" x14ac:dyDescent="0.3">
      <c r="B163" s="307"/>
      <c r="C163" s="342"/>
      <c r="D163" s="308"/>
      <c r="E163" s="330"/>
      <c r="F163" s="427"/>
      <c r="G163" s="10" t="s">
        <v>657</v>
      </c>
      <c r="H163" s="10">
        <v>40</v>
      </c>
      <c r="I163" s="390"/>
      <c r="J163" s="10" t="s">
        <v>76</v>
      </c>
      <c r="K163" s="10" t="s">
        <v>90</v>
      </c>
      <c r="L163" s="313"/>
      <c r="M163" s="313"/>
      <c r="N163" s="313"/>
      <c r="O163" s="313"/>
      <c r="P163" s="313"/>
      <c r="Q163" s="313"/>
      <c r="R163" s="313"/>
      <c r="S163" s="390"/>
      <c r="T163" s="454"/>
      <c r="U163" s="330"/>
      <c r="V163" s="330"/>
      <c r="W163" s="330"/>
      <c r="X163" s="330"/>
      <c r="Y163" s="330"/>
      <c r="Z163" s="330"/>
      <c r="AA163" s="10" t="s">
        <v>150</v>
      </c>
      <c r="AB163" s="10" t="s">
        <v>150</v>
      </c>
      <c r="AC163" s="10" t="s">
        <v>481</v>
      </c>
      <c r="AD163" s="10" t="s">
        <v>473</v>
      </c>
      <c r="AE163" s="10" t="s">
        <v>473</v>
      </c>
      <c r="AF163" s="10"/>
      <c r="AG163" s="10" t="s">
        <v>196</v>
      </c>
      <c r="AH163" s="45" t="s">
        <v>726</v>
      </c>
    </row>
    <row r="164" spans="2:34" x14ac:dyDescent="0.3">
      <c r="B164" s="307"/>
      <c r="C164" s="342"/>
      <c r="D164" s="308"/>
      <c r="E164" s="330"/>
      <c r="F164" s="427"/>
      <c r="G164" s="10" t="s">
        <v>101</v>
      </c>
      <c r="H164" s="10">
        <v>74</v>
      </c>
      <c r="I164" s="390"/>
      <c r="J164" s="10" t="s">
        <v>76</v>
      </c>
      <c r="K164" s="10">
        <v>5</v>
      </c>
      <c r="L164" s="313"/>
      <c r="M164" s="313"/>
      <c r="N164" s="313"/>
      <c r="O164" s="313"/>
      <c r="P164" s="313"/>
      <c r="Q164" s="313"/>
      <c r="R164" s="313"/>
      <c r="S164" s="390"/>
      <c r="T164" s="454"/>
      <c r="U164" s="330"/>
      <c r="V164" s="330"/>
      <c r="W164" s="330"/>
      <c r="X164" s="330"/>
      <c r="Y164" s="330"/>
      <c r="Z164" s="330"/>
      <c r="AA164" s="10" t="s">
        <v>150</v>
      </c>
      <c r="AB164" s="10" t="s">
        <v>150</v>
      </c>
      <c r="AC164" s="10" t="s">
        <v>727</v>
      </c>
      <c r="AD164" s="10" t="s">
        <v>473</v>
      </c>
      <c r="AE164" s="10" t="s">
        <v>473</v>
      </c>
      <c r="AF164" s="10"/>
      <c r="AG164" s="10" t="s">
        <v>229</v>
      </c>
      <c r="AH164" s="45" t="s">
        <v>728</v>
      </c>
    </row>
    <row r="165" spans="2:34" x14ac:dyDescent="0.3">
      <c r="B165" s="307"/>
      <c r="C165" s="342"/>
      <c r="D165" s="308"/>
      <c r="E165" s="330"/>
      <c r="F165" s="427"/>
      <c r="G165" s="10" t="s">
        <v>658</v>
      </c>
      <c r="H165" s="10">
        <v>11</v>
      </c>
      <c r="I165" s="390"/>
      <c r="J165" s="10" t="s">
        <v>76</v>
      </c>
      <c r="K165" s="10" t="s">
        <v>93</v>
      </c>
      <c r="L165" s="313"/>
      <c r="M165" s="313"/>
      <c r="N165" s="313"/>
      <c r="O165" s="313"/>
      <c r="P165" s="313"/>
      <c r="Q165" s="313"/>
      <c r="R165" s="313"/>
      <c r="S165" s="390"/>
      <c r="T165" s="454"/>
      <c r="U165" s="330"/>
      <c r="V165" s="330"/>
      <c r="W165" s="330"/>
      <c r="X165" s="330"/>
      <c r="Y165" s="330"/>
      <c r="Z165" s="330"/>
      <c r="AA165" s="10" t="s">
        <v>150</v>
      </c>
      <c r="AB165" s="10" t="s">
        <v>150</v>
      </c>
      <c r="AC165" s="10" t="s">
        <v>729</v>
      </c>
      <c r="AD165" s="10" t="s">
        <v>473</v>
      </c>
      <c r="AE165" s="10" t="s">
        <v>473</v>
      </c>
      <c r="AF165" s="10"/>
      <c r="AG165" s="10" t="s">
        <v>517</v>
      </c>
      <c r="AH165" s="45" t="s">
        <v>730</v>
      </c>
    </row>
    <row r="166" spans="2:34" x14ac:dyDescent="0.3">
      <c r="B166" s="307"/>
      <c r="C166" s="342"/>
      <c r="D166" s="308"/>
      <c r="E166" s="330"/>
      <c r="F166" s="427"/>
      <c r="G166" s="10" t="s">
        <v>659</v>
      </c>
      <c r="H166" s="10">
        <v>16</v>
      </c>
      <c r="I166" s="390"/>
      <c r="J166" s="10" t="s">
        <v>76</v>
      </c>
      <c r="K166" s="10" t="s">
        <v>93</v>
      </c>
      <c r="L166" s="313"/>
      <c r="M166" s="313"/>
      <c r="N166" s="313"/>
      <c r="O166" s="313"/>
      <c r="P166" s="313"/>
      <c r="Q166" s="313"/>
      <c r="R166" s="313"/>
      <c r="S166" s="390"/>
      <c r="T166" s="454"/>
      <c r="U166" s="330"/>
      <c r="V166" s="330"/>
      <c r="W166" s="330"/>
      <c r="X166" s="330"/>
      <c r="Y166" s="330"/>
      <c r="Z166" s="330"/>
      <c r="AA166" s="10" t="s">
        <v>150</v>
      </c>
      <c r="AB166" s="10" t="s">
        <v>150</v>
      </c>
      <c r="AC166" s="10" t="s">
        <v>731</v>
      </c>
      <c r="AD166" s="10" t="s">
        <v>473</v>
      </c>
      <c r="AE166" s="10" t="s">
        <v>473</v>
      </c>
      <c r="AF166" s="10"/>
      <c r="AG166" s="10" t="s">
        <v>235</v>
      </c>
      <c r="AH166" s="45" t="s">
        <v>732</v>
      </c>
    </row>
    <row r="167" spans="2:34" x14ac:dyDescent="0.3">
      <c r="B167" s="307"/>
      <c r="C167" s="342"/>
      <c r="D167" s="308"/>
      <c r="E167" s="330"/>
      <c r="F167" s="427"/>
      <c r="G167" s="10" t="s">
        <v>660</v>
      </c>
      <c r="H167" s="10">
        <v>16</v>
      </c>
      <c r="I167" s="390"/>
      <c r="J167" s="10" t="s">
        <v>76</v>
      </c>
      <c r="K167" s="10" t="s">
        <v>93</v>
      </c>
      <c r="L167" s="313"/>
      <c r="M167" s="313"/>
      <c r="N167" s="313"/>
      <c r="O167" s="313"/>
      <c r="P167" s="313"/>
      <c r="Q167" s="313"/>
      <c r="R167" s="313"/>
      <c r="S167" s="390"/>
      <c r="T167" s="454"/>
      <c r="U167" s="330"/>
      <c r="V167" s="330"/>
      <c r="W167" s="330"/>
      <c r="X167" s="330"/>
      <c r="Y167" s="330"/>
      <c r="Z167" s="330"/>
      <c r="AA167" s="10" t="s">
        <v>150</v>
      </c>
      <c r="AB167" s="10" t="s">
        <v>150</v>
      </c>
      <c r="AC167" s="10" t="s">
        <v>733</v>
      </c>
      <c r="AD167" s="10" t="s">
        <v>473</v>
      </c>
      <c r="AE167" s="10" t="s">
        <v>473</v>
      </c>
      <c r="AF167" s="10"/>
      <c r="AG167" s="10" t="s">
        <v>525</v>
      </c>
      <c r="AH167" s="45" t="s">
        <v>730</v>
      </c>
    </row>
    <row r="168" spans="2:34" x14ac:dyDescent="0.3">
      <c r="B168" s="307"/>
      <c r="C168" s="342"/>
      <c r="D168" s="308"/>
      <c r="E168" s="330"/>
      <c r="F168" s="427"/>
      <c r="G168" s="10" t="s">
        <v>661</v>
      </c>
      <c r="H168" s="10" t="s">
        <v>662</v>
      </c>
      <c r="I168" s="390"/>
      <c r="J168" s="10" t="s">
        <v>393</v>
      </c>
      <c r="K168" s="10" t="s">
        <v>93</v>
      </c>
      <c r="L168" s="313"/>
      <c r="M168" s="313"/>
      <c r="N168" s="313"/>
      <c r="O168" s="313"/>
      <c r="P168" s="313"/>
      <c r="Q168" s="313"/>
      <c r="R168" s="313"/>
      <c r="S168" s="390"/>
      <c r="T168" s="454"/>
      <c r="U168" s="330"/>
      <c r="V168" s="330"/>
      <c r="W168" s="330"/>
      <c r="X168" s="330"/>
      <c r="Y168" s="330"/>
      <c r="Z168" s="330"/>
      <c r="AA168" s="10" t="s">
        <v>150</v>
      </c>
      <c r="AB168" s="10" t="s">
        <v>150</v>
      </c>
      <c r="AC168" s="10" t="s">
        <v>734</v>
      </c>
      <c r="AD168" s="10" t="s">
        <v>473</v>
      </c>
      <c r="AE168" s="10" t="s">
        <v>473</v>
      </c>
      <c r="AF168" s="10"/>
      <c r="AG168" s="10" t="s">
        <v>240</v>
      </c>
      <c r="AH168" s="45" t="s">
        <v>735</v>
      </c>
    </row>
    <row r="169" spans="2:34" x14ac:dyDescent="0.3">
      <c r="B169" s="307"/>
      <c r="C169" s="342"/>
      <c r="D169" s="308"/>
      <c r="E169" s="330"/>
      <c r="F169" s="427"/>
      <c r="G169" s="10" t="s">
        <v>663</v>
      </c>
      <c r="H169" s="10" t="s">
        <v>664</v>
      </c>
      <c r="I169" s="390"/>
      <c r="J169" s="10" t="s">
        <v>76</v>
      </c>
      <c r="K169" s="10" t="s">
        <v>93</v>
      </c>
      <c r="L169" s="313"/>
      <c r="M169" s="313"/>
      <c r="N169" s="313"/>
      <c r="O169" s="313"/>
      <c r="P169" s="313"/>
      <c r="Q169" s="313"/>
      <c r="R169" s="313"/>
      <c r="S169" s="390"/>
      <c r="T169" s="454"/>
      <c r="U169" s="330"/>
      <c r="V169" s="330"/>
      <c r="W169" s="330"/>
      <c r="X169" s="330"/>
      <c r="Y169" s="330"/>
      <c r="Z169" s="330"/>
      <c r="AA169" s="10" t="s">
        <v>150</v>
      </c>
      <c r="AB169" s="10" t="s">
        <v>150</v>
      </c>
      <c r="AC169" s="10" t="s">
        <v>736</v>
      </c>
      <c r="AD169" s="10" t="s">
        <v>473</v>
      </c>
      <c r="AE169" s="10" t="s">
        <v>473</v>
      </c>
      <c r="AF169" s="10"/>
      <c r="AG169" s="10" t="s">
        <v>737</v>
      </c>
      <c r="AH169" s="45" t="s">
        <v>737</v>
      </c>
    </row>
    <row r="170" spans="2:34" x14ac:dyDescent="0.3">
      <c r="B170" s="307"/>
      <c r="C170" s="342"/>
      <c r="D170" s="308"/>
      <c r="E170" s="330"/>
      <c r="F170" s="427"/>
      <c r="G170" s="10" t="s">
        <v>113</v>
      </c>
      <c r="H170" s="10">
        <v>49</v>
      </c>
      <c r="I170" s="390"/>
      <c r="J170" s="10" t="s">
        <v>76</v>
      </c>
      <c r="K170" s="10" t="s">
        <v>93</v>
      </c>
      <c r="L170" s="313"/>
      <c r="M170" s="313"/>
      <c r="N170" s="313"/>
      <c r="O170" s="313"/>
      <c r="P170" s="313"/>
      <c r="Q170" s="313"/>
      <c r="R170" s="313"/>
      <c r="S170" s="390"/>
      <c r="T170" s="454"/>
      <c r="U170" s="330"/>
      <c r="V170" s="330"/>
      <c r="W170" s="330"/>
      <c r="X170" s="330"/>
      <c r="Y170" s="330"/>
      <c r="Z170" s="330"/>
      <c r="AA170" s="10" t="s">
        <v>150</v>
      </c>
      <c r="AB170" s="10" t="s">
        <v>150</v>
      </c>
      <c r="AC170" s="10" t="s">
        <v>738</v>
      </c>
      <c r="AD170" s="10" t="s">
        <v>473</v>
      </c>
      <c r="AE170" s="10" t="s">
        <v>473</v>
      </c>
      <c r="AF170" s="10"/>
      <c r="AG170" s="10" t="s">
        <v>285</v>
      </c>
      <c r="AH170" s="45" t="s">
        <v>739</v>
      </c>
    </row>
    <row r="171" spans="2:34" x14ac:dyDescent="0.3">
      <c r="B171" s="307"/>
      <c r="C171" s="342"/>
      <c r="D171" s="308"/>
      <c r="E171" s="330"/>
      <c r="F171" s="427"/>
      <c r="G171" s="10" t="s">
        <v>115</v>
      </c>
      <c r="H171" s="10">
        <v>182</v>
      </c>
      <c r="I171" s="390"/>
      <c r="J171" s="10" t="s">
        <v>76</v>
      </c>
      <c r="K171" s="10">
        <v>5</v>
      </c>
      <c r="L171" s="313"/>
      <c r="M171" s="313"/>
      <c r="N171" s="313"/>
      <c r="O171" s="313"/>
      <c r="P171" s="313"/>
      <c r="Q171" s="313"/>
      <c r="R171" s="313"/>
      <c r="S171" s="390"/>
      <c r="T171" s="454"/>
      <c r="U171" s="330"/>
      <c r="V171" s="330"/>
      <c r="W171" s="330"/>
      <c r="X171" s="330"/>
      <c r="Y171" s="330"/>
      <c r="Z171" s="330"/>
      <c r="AA171" s="10" t="s">
        <v>150</v>
      </c>
      <c r="AB171" s="10" t="s">
        <v>150</v>
      </c>
      <c r="AC171" s="10" t="s">
        <v>740</v>
      </c>
      <c r="AD171" s="10" t="s">
        <v>473</v>
      </c>
      <c r="AE171" s="10" t="s">
        <v>473</v>
      </c>
      <c r="AF171" s="10"/>
      <c r="AG171" s="10" t="s">
        <v>287</v>
      </c>
      <c r="AH171" s="45" t="s">
        <v>741</v>
      </c>
    </row>
    <row r="172" spans="2:34" x14ac:dyDescent="0.3">
      <c r="B172" s="307"/>
      <c r="C172" s="342"/>
      <c r="D172" s="308"/>
      <c r="E172" s="330"/>
      <c r="F172" s="427"/>
      <c r="G172" s="10" t="s">
        <v>127</v>
      </c>
      <c r="H172" s="10">
        <v>381</v>
      </c>
      <c r="I172" s="390"/>
      <c r="J172" s="10" t="s">
        <v>76</v>
      </c>
      <c r="K172" s="10">
        <v>50</v>
      </c>
      <c r="L172" s="313"/>
      <c r="M172" s="313"/>
      <c r="N172" s="313"/>
      <c r="O172" s="313"/>
      <c r="P172" s="313"/>
      <c r="Q172" s="313"/>
      <c r="R172" s="313"/>
      <c r="S172" s="390"/>
      <c r="T172" s="454"/>
      <c r="U172" s="330"/>
      <c r="V172" s="330"/>
      <c r="W172" s="330"/>
      <c r="X172" s="330"/>
      <c r="Y172" s="330"/>
      <c r="Z172" s="330"/>
      <c r="AA172" s="10" t="s">
        <v>150</v>
      </c>
      <c r="AB172" s="10" t="s">
        <v>150</v>
      </c>
      <c r="AC172" s="10" t="s">
        <v>150</v>
      </c>
      <c r="AD172" s="10" t="s">
        <v>150</v>
      </c>
      <c r="AE172" s="10" t="s">
        <v>150</v>
      </c>
      <c r="AF172" s="10"/>
      <c r="AG172" s="10" t="s">
        <v>150</v>
      </c>
      <c r="AH172" s="45" t="s">
        <v>150</v>
      </c>
    </row>
    <row r="173" spans="2:34" x14ac:dyDescent="0.3">
      <c r="B173" s="307"/>
      <c r="C173" s="342"/>
      <c r="D173" s="308"/>
      <c r="E173" s="330"/>
      <c r="F173" s="427"/>
      <c r="G173" s="10" t="s">
        <v>665</v>
      </c>
      <c r="H173" s="10">
        <v>381</v>
      </c>
      <c r="I173" s="390"/>
      <c r="J173" s="10" t="s">
        <v>575</v>
      </c>
      <c r="K173" s="10"/>
      <c r="L173" s="313"/>
      <c r="M173" s="313"/>
      <c r="N173" s="313"/>
      <c r="O173" s="313"/>
      <c r="P173" s="313"/>
      <c r="Q173" s="313"/>
      <c r="R173" s="313"/>
      <c r="S173" s="390"/>
      <c r="T173" s="454"/>
      <c r="U173" s="330"/>
      <c r="V173" s="330"/>
      <c r="W173" s="330"/>
      <c r="X173" s="330"/>
      <c r="Y173" s="330"/>
      <c r="Z173" s="330"/>
      <c r="AA173" s="10" t="s">
        <v>150</v>
      </c>
      <c r="AB173" s="10" t="s">
        <v>150</v>
      </c>
      <c r="AC173" s="10" t="s">
        <v>742</v>
      </c>
      <c r="AD173" s="10" t="s">
        <v>473</v>
      </c>
      <c r="AE173" s="10" t="s">
        <v>473</v>
      </c>
      <c r="AF173" s="10"/>
      <c r="AG173" s="10" t="s">
        <v>743</v>
      </c>
      <c r="AH173" s="45" t="s">
        <v>743</v>
      </c>
    </row>
    <row r="174" spans="2:34" x14ac:dyDescent="0.3">
      <c r="B174" s="307"/>
      <c r="C174" s="342"/>
      <c r="D174" s="308"/>
      <c r="E174" s="330"/>
      <c r="F174" s="427"/>
      <c r="G174" s="10" t="s">
        <v>367</v>
      </c>
      <c r="H174" s="10"/>
      <c r="I174" s="390"/>
      <c r="J174" s="10" t="s">
        <v>76</v>
      </c>
      <c r="K174" s="10" t="s">
        <v>426</v>
      </c>
      <c r="L174" s="313"/>
      <c r="M174" s="313"/>
      <c r="N174" s="313"/>
      <c r="O174" s="313"/>
      <c r="P174" s="313"/>
      <c r="Q174" s="313"/>
      <c r="R174" s="313"/>
      <c r="S174" s="390"/>
      <c r="T174" s="454"/>
      <c r="U174" s="330"/>
      <c r="V174" s="330"/>
      <c r="W174" s="330"/>
      <c r="X174" s="330"/>
      <c r="Y174" s="330"/>
      <c r="Z174" s="330"/>
      <c r="AA174" s="10" t="s">
        <v>150</v>
      </c>
      <c r="AB174" s="10" t="s">
        <v>150</v>
      </c>
      <c r="AC174" s="10" t="s">
        <v>150</v>
      </c>
      <c r="AD174" s="10" t="s">
        <v>150</v>
      </c>
      <c r="AE174" s="10" t="s">
        <v>150</v>
      </c>
      <c r="AF174" s="10"/>
      <c r="AG174" s="10" t="s">
        <v>150</v>
      </c>
      <c r="AH174" s="45" t="s">
        <v>150</v>
      </c>
    </row>
    <row r="175" spans="2:34" x14ac:dyDescent="0.3">
      <c r="B175" s="307"/>
      <c r="C175" s="342"/>
      <c r="D175" s="308"/>
      <c r="E175" s="330"/>
      <c r="F175" s="427"/>
      <c r="G175" s="10" t="s">
        <v>368</v>
      </c>
      <c r="H175" s="12">
        <v>12453</v>
      </c>
      <c r="I175" s="390"/>
      <c r="J175" s="10" t="s">
        <v>410</v>
      </c>
      <c r="K175" s="10"/>
      <c r="L175" s="313"/>
      <c r="M175" s="313"/>
      <c r="N175" s="313"/>
      <c r="O175" s="313"/>
      <c r="P175" s="313"/>
      <c r="Q175" s="313"/>
      <c r="R175" s="313"/>
      <c r="S175" s="390"/>
      <c r="T175" s="454"/>
      <c r="U175" s="330"/>
      <c r="V175" s="330"/>
      <c r="W175" s="330"/>
      <c r="X175" s="330"/>
      <c r="Y175" s="330"/>
      <c r="Z175" s="330"/>
      <c r="AA175" s="10" t="s">
        <v>150</v>
      </c>
      <c r="AB175" s="10" t="s">
        <v>150</v>
      </c>
      <c r="AC175" s="10" t="s">
        <v>744</v>
      </c>
      <c r="AD175" s="10" t="s">
        <v>473</v>
      </c>
      <c r="AE175" s="10" t="s">
        <v>473</v>
      </c>
      <c r="AF175" s="10"/>
      <c r="AG175" s="10" t="s">
        <v>289</v>
      </c>
      <c r="AH175" s="45" t="s">
        <v>289</v>
      </c>
    </row>
    <row r="176" spans="2:34" x14ac:dyDescent="0.3">
      <c r="B176" s="307"/>
      <c r="C176" s="342"/>
      <c r="D176" s="308"/>
      <c r="E176" s="330"/>
      <c r="F176" s="427"/>
      <c r="G176" s="10" t="s">
        <v>369</v>
      </c>
      <c r="H176" s="12">
        <v>6805</v>
      </c>
      <c r="I176" s="390"/>
      <c r="J176" s="10" t="s">
        <v>411</v>
      </c>
      <c r="K176" s="10"/>
      <c r="L176" s="313"/>
      <c r="M176" s="313"/>
      <c r="N176" s="313"/>
      <c r="O176" s="313"/>
      <c r="P176" s="313"/>
      <c r="Q176" s="313"/>
      <c r="R176" s="313"/>
      <c r="S176" s="390"/>
      <c r="T176" s="454"/>
      <c r="U176" s="330"/>
      <c r="V176" s="330"/>
      <c r="W176" s="330"/>
      <c r="X176" s="330"/>
      <c r="Y176" s="330"/>
      <c r="Z176" s="330"/>
      <c r="AA176" s="10" t="s">
        <v>150</v>
      </c>
      <c r="AB176" s="10" t="s">
        <v>150</v>
      </c>
      <c r="AC176" s="10" t="s">
        <v>745</v>
      </c>
      <c r="AD176" s="10" t="s">
        <v>473</v>
      </c>
      <c r="AE176" s="10" t="s">
        <v>473</v>
      </c>
      <c r="AF176" s="10"/>
      <c r="AG176" s="10" t="s">
        <v>289</v>
      </c>
      <c r="AH176" s="45" t="s">
        <v>289</v>
      </c>
    </row>
    <row r="177" spans="2:34" x14ac:dyDescent="0.3">
      <c r="B177" s="307"/>
      <c r="C177" s="342"/>
      <c r="D177" s="308"/>
      <c r="E177" s="330"/>
      <c r="F177" s="428"/>
      <c r="G177" s="11" t="s">
        <v>579</v>
      </c>
      <c r="H177" s="10"/>
      <c r="I177" s="391"/>
      <c r="J177" s="10"/>
      <c r="K177" s="10"/>
      <c r="L177" s="314"/>
      <c r="M177" s="314"/>
      <c r="N177" s="314"/>
      <c r="O177" s="314"/>
      <c r="P177" s="314"/>
      <c r="Q177" s="314"/>
      <c r="R177" s="314"/>
      <c r="S177" s="391"/>
      <c r="T177" s="455"/>
      <c r="U177" s="330"/>
      <c r="V177" s="330"/>
      <c r="W177" s="330"/>
      <c r="X177" s="330"/>
      <c r="Y177" s="330"/>
      <c r="Z177" s="330"/>
      <c r="AA177" s="10" t="s">
        <v>150</v>
      </c>
      <c r="AB177" s="28" t="s">
        <v>687</v>
      </c>
      <c r="AC177" s="28" t="s">
        <v>742</v>
      </c>
      <c r="AD177" s="28" t="s">
        <v>473</v>
      </c>
      <c r="AE177" s="28" t="s">
        <v>473</v>
      </c>
      <c r="AF177" s="28"/>
      <c r="AG177" s="28" t="s">
        <v>473</v>
      </c>
      <c r="AH177" s="46" t="s">
        <v>473</v>
      </c>
    </row>
    <row r="178" spans="2:34" ht="14.4" customHeight="1" x14ac:dyDescent="0.3">
      <c r="B178" s="307"/>
      <c r="C178" s="342"/>
      <c r="D178" s="308"/>
      <c r="E178" s="315" t="s">
        <v>924</v>
      </c>
      <c r="F178" s="417" t="s">
        <v>11</v>
      </c>
      <c r="G178" s="14" t="s">
        <v>75</v>
      </c>
      <c r="H178" s="14">
        <v>124</v>
      </c>
      <c r="I178" s="316" t="s">
        <v>1064</v>
      </c>
      <c r="J178" s="14" t="s">
        <v>76</v>
      </c>
      <c r="K178" s="14">
        <v>29</v>
      </c>
      <c r="L178" s="416" t="s">
        <v>1034</v>
      </c>
      <c r="M178" s="345" t="s">
        <v>845</v>
      </c>
      <c r="N178" s="416" t="s">
        <v>1038</v>
      </c>
      <c r="O178" s="416" t="s">
        <v>580</v>
      </c>
      <c r="P178" s="345" t="s">
        <v>999</v>
      </c>
      <c r="Q178" s="416" t="s">
        <v>668</v>
      </c>
      <c r="R178" s="416" t="s">
        <v>668</v>
      </c>
      <c r="S178" s="315" t="s">
        <v>993</v>
      </c>
      <c r="T178" s="366" t="s">
        <v>1092</v>
      </c>
      <c r="U178" s="315" t="s">
        <v>360</v>
      </c>
      <c r="V178" s="315"/>
      <c r="W178" s="315"/>
      <c r="X178" s="315"/>
      <c r="Y178" s="315"/>
      <c r="Z178" s="315"/>
      <c r="AA178" s="315"/>
      <c r="AB178" s="315"/>
      <c r="AC178" s="14" t="s">
        <v>760</v>
      </c>
      <c r="AD178" s="14" t="s">
        <v>761</v>
      </c>
      <c r="AE178" s="14" t="s">
        <v>762</v>
      </c>
      <c r="AF178" s="14"/>
      <c r="AG178" s="14" t="s">
        <v>446</v>
      </c>
      <c r="AH178" s="24" t="s">
        <v>676</v>
      </c>
    </row>
    <row r="179" spans="2:34" x14ac:dyDescent="0.3">
      <c r="B179" s="307"/>
      <c r="C179" s="342"/>
      <c r="D179" s="308"/>
      <c r="E179" s="315"/>
      <c r="F179" s="417"/>
      <c r="G179" s="14" t="s">
        <v>77</v>
      </c>
      <c r="H179" s="14" t="s">
        <v>746</v>
      </c>
      <c r="I179" s="392"/>
      <c r="J179" s="14" t="s">
        <v>76</v>
      </c>
      <c r="K179" s="14">
        <v>2</v>
      </c>
      <c r="L179" s="416"/>
      <c r="M179" s="346"/>
      <c r="N179" s="416"/>
      <c r="O179" s="416"/>
      <c r="P179" s="346"/>
      <c r="Q179" s="416"/>
      <c r="R179" s="416"/>
      <c r="S179" s="315"/>
      <c r="T179" s="367"/>
      <c r="U179" s="315"/>
      <c r="V179" s="315"/>
      <c r="W179" s="315"/>
      <c r="X179" s="315"/>
      <c r="Y179" s="315"/>
      <c r="Z179" s="315"/>
      <c r="AA179" s="315"/>
      <c r="AB179" s="315"/>
      <c r="AC179" s="14" t="s">
        <v>763</v>
      </c>
      <c r="AD179" s="14" t="s">
        <v>285</v>
      </c>
      <c r="AE179" s="14" t="s">
        <v>764</v>
      </c>
      <c r="AF179" s="14"/>
      <c r="AG179" s="14" t="s">
        <v>186</v>
      </c>
      <c r="AH179" s="24" t="s">
        <v>187</v>
      </c>
    </row>
    <row r="180" spans="2:34" x14ac:dyDescent="0.3">
      <c r="B180" s="307"/>
      <c r="C180" s="342"/>
      <c r="D180" s="308"/>
      <c r="E180" s="315"/>
      <c r="F180" s="417"/>
      <c r="G180" s="14" t="s">
        <v>361</v>
      </c>
      <c r="H180" s="14">
        <v>366</v>
      </c>
      <c r="I180" s="392"/>
      <c r="J180" s="14" t="s">
        <v>76</v>
      </c>
      <c r="K180" s="14">
        <v>150</v>
      </c>
      <c r="L180" s="416"/>
      <c r="M180" s="346"/>
      <c r="N180" s="416"/>
      <c r="O180" s="416"/>
      <c r="P180" s="346"/>
      <c r="Q180" s="416"/>
      <c r="R180" s="416"/>
      <c r="S180" s="315"/>
      <c r="T180" s="367"/>
      <c r="U180" s="315"/>
      <c r="V180" s="315"/>
      <c r="W180" s="315"/>
      <c r="X180" s="315"/>
      <c r="Y180" s="315"/>
      <c r="Z180" s="315"/>
      <c r="AA180" s="315"/>
      <c r="AB180" s="315"/>
      <c r="AC180" s="14" t="s">
        <v>765</v>
      </c>
      <c r="AD180" s="14" t="s">
        <v>766</v>
      </c>
      <c r="AE180" s="14" t="s">
        <v>767</v>
      </c>
      <c r="AF180" s="14"/>
      <c r="AG180" s="14" t="s">
        <v>681</v>
      </c>
      <c r="AH180" s="24" t="s">
        <v>682</v>
      </c>
    </row>
    <row r="181" spans="2:34" x14ac:dyDescent="0.3">
      <c r="B181" s="307"/>
      <c r="C181" s="342"/>
      <c r="D181" s="308"/>
      <c r="E181" s="315"/>
      <c r="F181" s="417"/>
      <c r="G181" s="14" t="s">
        <v>362</v>
      </c>
      <c r="H181" s="14" t="s">
        <v>747</v>
      </c>
      <c r="I181" s="392"/>
      <c r="J181" s="14" t="s">
        <v>375</v>
      </c>
      <c r="K181" s="14">
        <v>1</v>
      </c>
      <c r="L181" s="416"/>
      <c r="M181" s="346"/>
      <c r="N181" s="416"/>
      <c r="O181" s="416"/>
      <c r="P181" s="346"/>
      <c r="Q181" s="416"/>
      <c r="R181" s="416"/>
      <c r="S181" s="315"/>
      <c r="T181" s="367"/>
      <c r="U181" s="315"/>
      <c r="V181" s="315"/>
      <c r="W181" s="315"/>
      <c r="X181" s="315"/>
      <c r="Y181" s="315"/>
      <c r="Z181" s="315"/>
      <c r="AA181" s="315"/>
      <c r="AB181" s="315"/>
      <c r="AC181" s="14" t="s">
        <v>721</v>
      </c>
      <c r="AD181" s="14" t="s">
        <v>768</v>
      </c>
      <c r="AE181" s="14" t="s">
        <v>769</v>
      </c>
      <c r="AF181" s="14"/>
      <c r="AG181" s="14" t="s">
        <v>691</v>
      </c>
      <c r="AH181" s="24" t="s">
        <v>692</v>
      </c>
    </row>
    <row r="182" spans="2:34" x14ac:dyDescent="0.3">
      <c r="B182" s="307"/>
      <c r="C182" s="342"/>
      <c r="D182" s="308"/>
      <c r="E182" s="315"/>
      <c r="F182" s="417"/>
      <c r="G182" s="14" t="s">
        <v>80</v>
      </c>
      <c r="H182" s="14">
        <v>788</v>
      </c>
      <c r="I182" s="392"/>
      <c r="J182" s="14" t="s">
        <v>76</v>
      </c>
      <c r="K182" s="14">
        <v>103</v>
      </c>
      <c r="L182" s="416"/>
      <c r="M182" s="346"/>
      <c r="N182" s="416"/>
      <c r="O182" s="416"/>
      <c r="P182" s="346"/>
      <c r="Q182" s="416"/>
      <c r="R182" s="416"/>
      <c r="S182" s="315"/>
      <c r="T182" s="367"/>
      <c r="U182" s="315"/>
      <c r="V182" s="315"/>
      <c r="W182" s="315"/>
      <c r="X182" s="315"/>
      <c r="Y182" s="315"/>
      <c r="Z182" s="315"/>
      <c r="AA182" s="315"/>
      <c r="AB182" s="315"/>
      <c r="AC182" s="14" t="s">
        <v>770</v>
      </c>
      <c r="AD182" s="14" t="s">
        <v>771</v>
      </c>
      <c r="AE182" s="14" t="s">
        <v>772</v>
      </c>
      <c r="AF182" s="14"/>
      <c r="AG182" s="14" t="s">
        <v>465</v>
      </c>
      <c r="AH182" s="24" t="s">
        <v>700</v>
      </c>
    </row>
    <row r="183" spans="2:34" x14ac:dyDescent="0.3">
      <c r="B183" s="307"/>
      <c r="C183" s="342"/>
      <c r="D183" s="308"/>
      <c r="E183" s="315"/>
      <c r="F183" s="417"/>
      <c r="G183" s="14" t="s">
        <v>171</v>
      </c>
      <c r="H183" s="14">
        <v>239</v>
      </c>
      <c r="I183" s="392"/>
      <c r="J183" s="14" t="s">
        <v>76</v>
      </c>
      <c r="K183" s="14">
        <v>120</v>
      </c>
      <c r="L183" s="416"/>
      <c r="M183" s="346"/>
      <c r="N183" s="416"/>
      <c r="O183" s="416"/>
      <c r="P183" s="346"/>
      <c r="Q183" s="416"/>
      <c r="R183" s="416"/>
      <c r="S183" s="315"/>
      <c r="T183" s="367"/>
      <c r="U183" s="315"/>
      <c r="V183" s="315"/>
      <c r="W183" s="315"/>
      <c r="X183" s="315"/>
      <c r="Y183" s="315"/>
      <c r="Z183" s="315"/>
      <c r="AA183" s="315"/>
      <c r="AB183" s="315"/>
      <c r="AC183" s="14" t="s">
        <v>773</v>
      </c>
      <c r="AD183" s="14" t="s">
        <v>774</v>
      </c>
      <c r="AE183" s="14" t="s">
        <v>775</v>
      </c>
      <c r="AF183" s="14"/>
      <c r="AG183" s="14" t="s">
        <v>470</v>
      </c>
      <c r="AH183" s="24" t="s">
        <v>704</v>
      </c>
    </row>
    <row r="184" spans="2:34" x14ac:dyDescent="0.3">
      <c r="B184" s="307"/>
      <c r="C184" s="342"/>
      <c r="D184" s="308"/>
      <c r="E184" s="315"/>
      <c r="F184" s="417"/>
      <c r="G184" s="14" t="s">
        <v>363</v>
      </c>
      <c r="H184" s="14">
        <v>39</v>
      </c>
      <c r="I184" s="392"/>
      <c r="J184" s="14" t="s">
        <v>76</v>
      </c>
      <c r="K184" s="14">
        <v>14</v>
      </c>
      <c r="L184" s="416"/>
      <c r="M184" s="346"/>
      <c r="N184" s="416"/>
      <c r="O184" s="416"/>
      <c r="P184" s="346"/>
      <c r="Q184" s="416"/>
      <c r="R184" s="416"/>
      <c r="S184" s="315"/>
      <c r="T184" s="367"/>
      <c r="U184" s="315"/>
      <c r="V184" s="315"/>
      <c r="W184" s="315"/>
      <c r="X184" s="315"/>
      <c r="Y184" s="315"/>
      <c r="Z184" s="315"/>
      <c r="AA184" s="315"/>
      <c r="AB184" s="315"/>
      <c r="AC184" s="14" t="s">
        <v>776</v>
      </c>
      <c r="AD184" s="14" t="s">
        <v>473</v>
      </c>
      <c r="AE184" s="14" t="s">
        <v>473</v>
      </c>
      <c r="AF184" s="14"/>
      <c r="AG184" s="14" t="s">
        <v>473</v>
      </c>
      <c r="AH184" s="24" t="s">
        <v>473</v>
      </c>
    </row>
    <row r="185" spans="2:34" x14ac:dyDescent="0.3">
      <c r="B185" s="307"/>
      <c r="C185" s="342"/>
      <c r="D185" s="308"/>
      <c r="E185" s="315"/>
      <c r="F185" s="417"/>
      <c r="G185" s="14" t="s">
        <v>83</v>
      </c>
      <c r="H185" s="14">
        <v>6</v>
      </c>
      <c r="I185" s="392"/>
      <c r="J185" s="14" t="s">
        <v>76</v>
      </c>
      <c r="K185" s="14">
        <v>1</v>
      </c>
      <c r="L185" s="416"/>
      <c r="M185" s="346"/>
      <c r="N185" s="416"/>
      <c r="O185" s="416"/>
      <c r="P185" s="346"/>
      <c r="Q185" s="416"/>
      <c r="R185" s="416"/>
      <c r="S185" s="315"/>
      <c r="T185" s="367"/>
      <c r="U185" s="315"/>
      <c r="V185" s="315"/>
      <c r="W185" s="315"/>
      <c r="X185" s="315"/>
      <c r="Y185" s="315"/>
      <c r="Z185" s="315"/>
      <c r="AA185" s="315"/>
      <c r="AB185" s="315"/>
      <c r="AC185" s="14" t="s">
        <v>777</v>
      </c>
      <c r="AD185" s="14" t="s">
        <v>473</v>
      </c>
      <c r="AE185" s="14" t="s">
        <v>473</v>
      </c>
      <c r="AF185" s="14"/>
      <c r="AG185" s="14" t="s">
        <v>473</v>
      </c>
      <c r="AH185" s="24" t="s">
        <v>473</v>
      </c>
    </row>
    <row r="186" spans="2:34" x14ac:dyDescent="0.3">
      <c r="B186" s="307"/>
      <c r="C186" s="342"/>
      <c r="D186" s="308"/>
      <c r="E186" s="315"/>
      <c r="F186" s="417"/>
      <c r="G186" s="14" t="s">
        <v>85</v>
      </c>
      <c r="H186" s="14">
        <v>637</v>
      </c>
      <c r="I186" s="392"/>
      <c r="J186" s="14" t="s">
        <v>76</v>
      </c>
      <c r="K186" s="14">
        <v>100</v>
      </c>
      <c r="L186" s="416"/>
      <c r="M186" s="346"/>
      <c r="N186" s="416"/>
      <c r="O186" s="416"/>
      <c r="P186" s="346"/>
      <c r="Q186" s="416"/>
      <c r="R186" s="416"/>
      <c r="S186" s="315"/>
      <c r="T186" s="367"/>
      <c r="U186" s="315"/>
      <c r="V186" s="315"/>
      <c r="W186" s="315"/>
      <c r="X186" s="315"/>
      <c r="Y186" s="315"/>
      <c r="Z186" s="315"/>
      <c r="AA186" s="315"/>
      <c r="AB186" s="315"/>
      <c r="AC186" s="14" t="s">
        <v>226</v>
      </c>
      <c r="AD186" s="14" t="s">
        <v>778</v>
      </c>
      <c r="AE186" s="14" t="s">
        <v>779</v>
      </c>
      <c r="AF186" s="14"/>
      <c r="AG186" s="14" t="s">
        <v>480</v>
      </c>
      <c r="AH186" s="24" t="s">
        <v>714</v>
      </c>
    </row>
    <row r="187" spans="2:34" x14ac:dyDescent="0.3">
      <c r="B187" s="307"/>
      <c r="C187" s="342"/>
      <c r="D187" s="308"/>
      <c r="E187" s="315"/>
      <c r="F187" s="417"/>
      <c r="G187" s="14" t="s">
        <v>86</v>
      </c>
      <c r="H187" s="14">
        <v>1995</v>
      </c>
      <c r="I187" s="392"/>
      <c r="J187" s="14" t="s">
        <v>76</v>
      </c>
      <c r="K187" s="14">
        <v>158</v>
      </c>
      <c r="L187" s="416"/>
      <c r="M187" s="346"/>
      <c r="N187" s="416"/>
      <c r="O187" s="416"/>
      <c r="P187" s="346"/>
      <c r="Q187" s="416"/>
      <c r="R187" s="416"/>
      <c r="S187" s="315"/>
      <c r="T187" s="367"/>
      <c r="U187" s="315"/>
      <c r="V187" s="315"/>
      <c r="W187" s="315"/>
      <c r="X187" s="315"/>
      <c r="Y187" s="315"/>
      <c r="Z187" s="315"/>
      <c r="AA187" s="315"/>
      <c r="AB187" s="315"/>
      <c r="AC187" s="14" t="s">
        <v>308</v>
      </c>
      <c r="AD187" s="14" t="s">
        <v>780</v>
      </c>
      <c r="AE187" s="14" t="s">
        <v>781</v>
      </c>
      <c r="AF187" s="14"/>
      <c r="AG187" s="14" t="s">
        <v>207</v>
      </c>
      <c r="AH187" s="24" t="s">
        <v>718</v>
      </c>
    </row>
    <row r="188" spans="2:34" x14ac:dyDescent="0.3">
      <c r="B188" s="307"/>
      <c r="C188" s="342"/>
      <c r="D188" s="308"/>
      <c r="E188" s="315"/>
      <c r="F188" s="417"/>
      <c r="G188" s="14" t="s">
        <v>653</v>
      </c>
      <c r="H188" s="14" t="s">
        <v>748</v>
      </c>
      <c r="I188" s="392"/>
      <c r="J188" s="14" t="s">
        <v>76</v>
      </c>
      <c r="K188" s="14" t="s">
        <v>90</v>
      </c>
      <c r="L188" s="416"/>
      <c r="M188" s="346"/>
      <c r="N188" s="416"/>
      <c r="O188" s="416"/>
      <c r="P188" s="346"/>
      <c r="Q188" s="416"/>
      <c r="R188" s="416"/>
      <c r="S188" s="315"/>
      <c r="T188" s="367"/>
      <c r="U188" s="315"/>
      <c r="V188" s="315"/>
      <c r="W188" s="315"/>
      <c r="X188" s="315"/>
      <c r="Y188" s="315"/>
      <c r="Z188" s="315"/>
      <c r="AA188" s="315"/>
      <c r="AB188" s="315"/>
      <c r="AC188" s="14" t="s">
        <v>782</v>
      </c>
      <c r="AD188" s="14" t="s">
        <v>473</v>
      </c>
      <c r="AE188" s="14" t="s">
        <v>473</v>
      </c>
      <c r="AF188" s="14"/>
      <c r="AG188" s="14" t="s">
        <v>214</v>
      </c>
      <c r="AH188" s="24" t="s">
        <v>720</v>
      </c>
    </row>
    <row r="189" spans="2:34" x14ac:dyDescent="0.3">
      <c r="B189" s="307"/>
      <c r="C189" s="342"/>
      <c r="D189" s="308"/>
      <c r="E189" s="315"/>
      <c r="F189" s="417"/>
      <c r="G189" s="14" t="s">
        <v>654</v>
      </c>
      <c r="H189" s="14" t="s">
        <v>749</v>
      </c>
      <c r="I189" s="392"/>
      <c r="J189" s="14" t="s">
        <v>76</v>
      </c>
      <c r="K189" s="14" t="s">
        <v>93</v>
      </c>
      <c r="L189" s="416"/>
      <c r="M189" s="346"/>
      <c r="N189" s="416"/>
      <c r="O189" s="416"/>
      <c r="P189" s="346"/>
      <c r="Q189" s="416"/>
      <c r="R189" s="416"/>
      <c r="S189" s="315"/>
      <c r="T189" s="367"/>
      <c r="U189" s="315"/>
      <c r="V189" s="315"/>
      <c r="W189" s="315"/>
      <c r="X189" s="315"/>
      <c r="Y189" s="315"/>
      <c r="Z189" s="315"/>
      <c r="AA189" s="315"/>
      <c r="AB189" s="315"/>
      <c r="AC189" s="14" t="s">
        <v>783</v>
      </c>
      <c r="AD189" s="14" t="s">
        <v>473</v>
      </c>
      <c r="AE189" s="14" t="s">
        <v>473</v>
      </c>
      <c r="AF189" s="14"/>
      <c r="AG189" s="14" t="s">
        <v>217</v>
      </c>
      <c r="AH189" s="24" t="s">
        <v>722</v>
      </c>
    </row>
    <row r="190" spans="2:34" x14ac:dyDescent="0.3">
      <c r="B190" s="307"/>
      <c r="C190" s="342"/>
      <c r="D190" s="308"/>
      <c r="E190" s="315"/>
      <c r="F190" s="417"/>
      <c r="G190" s="14" t="s">
        <v>655</v>
      </c>
      <c r="H190" s="14" t="s">
        <v>750</v>
      </c>
      <c r="I190" s="392"/>
      <c r="J190" s="14" t="s">
        <v>76</v>
      </c>
      <c r="K190" s="14" t="s">
        <v>90</v>
      </c>
      <c r="L190" s="416"/>
      <c r="M190" s="346"/>
      <c r="N190" s="416"/>
      <c r="O190" s="416"/>
      <c r="P190" s="346"/>
      <c r="Q190" s="416"/>
      <c r="R190" s="416"/>
      <c r="S190" s="315"/>
      <c r="T190" s="367"/>
      <c r="U190" s="315"/>
      <c r="V190" s="315"/>
      <c r="W190" s="315"/>
      <c r="X190" s="315"/>
      <c r="Y190" s="315"/>
      <c r="Z190" s="315"/>
      <c r="AA190" s="315"/>
      <c r="AB190" s="315"/>
      <c r="AC190" s="14" t="s">
        <v>517</v>
      </c>
      <c r="AD190" s="14" t="s">
        <v>473</v>
      </c>
      <c r="AE190" s="14" t="s">
        <v>473</v>
      </c>
      <c r="AF190" s="14"/>
      <c r="AG190" s="14" t="s">
        <v>221</v>
      </c>
      <c r="AH190" s="24" t="s">
        <v>724</v>
      </c>
    </row>
    <row r="191" spans="2:34" x14ac:dyDescent="0.3">
      <c r="B191" s="307"/>
      <c r="C191" s="342"/>
      <c r="D191" s="308"/>
      <c r="E191" s="315"/>
      <c r="F191" s="417"/>
      <c r="G191" s="14" t="s">
        <v>656</v>
      </c>
      <c r="H191" s="14" t="s">
        <v>751</v>
      </c>
      <c r="I191" s="392"/>
      <c r="J191" s="14" t="s">
        <v>76</v>
      </c>
      <c r="K191" s="14" t="s">
        <v>93</v>
      </c>
      <c r="L191" s="416"/>
      <c r="M191" s="346"/>
      <c r="N191" s="416"/>
      <c r="O191" s="416"/>
      <c r="P191" s="346"/>
      <c r="Q191" s="416"/>
      <c r="R191" s="416"/>
      <c r="S191" s="315"/>
      <c r="T191" s="367"/>
      <c r="U191" s="315"/>
      <c r="V191" s="315"/>
      <c r="W191" s="315"/>
      <c r="X191" s="315"/>
      <c r="Y191" s="315"/>
      <c r="Z191" s="315"/>
      <c r="AA191" s="315"/>
      <c r="AB191" s="315"/>
      <c r="AC191" s="14" t="s">
        <v>337</v>
      </c>
      <c r="AD191" s="14" t="s">
        <v>473</v>
      </c>
      <c r="AE191" s="14" t="s">
        <v>473</v>
      </c>
      <c r="AF191" s="14"/>
      <c r="AG191" s="14" t="s">
        <v>224</v>
      </c>
      <c r="AH191" s="24" t="s">
        <v>725</v>
      </c>
    </row>
    <row r="192" spans="2:34" x14ac:dyDescent="0.3">
      <c r="B192" s="307"/>
      <c r="C192" s="342"/>
      <c r="D192" s="308"/>
      <c r="E192" s="315"/>
      <c r="F192" s="417"/>
      <c r="G192" s="14" t="s">
        <v>657</v>
      </c>
      <c r="H192" s="14" t="s">
        <v>398</v>
      </c>
      <c r="I192" s="392"/>
      <c r="J192" s="14" t="s">
        <v>76</v>
      </c>
      <c r="K192" s="14" t="s">
        <v>90</v>
      </c>
      <c r="L192" s="416"/>
      <c r="M192" s="346"/>
      <c r="N192" s="416"/>
      <c r="O192" s="416"/>
      <c r="P192" s="346"/>
      <c r="Q192" s="416"/>
      <c r="R192" s="416"/>
      <c r="S192" s="315"/>
      <c r="T192" s="367"/>
      <c r="U192" s="315"/>
      <c r="V192" s="315"/>
      <c r="W192" s="315"/>
      <c r="X192" s="315"/>
      <c r="Y192" s="315"/>
      <c r="Z192" s="315"/>
      <c r="AA192" s="315"/>
      <c r="AB192" s="315"/>
      <c r="AC192" s="14" t="s">
        <v>784</v>
      </c>
      <c r="AD192" s="14" t="s">
        <v>473</v>
      </c>
      <c r="AE192" s="14" t="s">
        <v>473</v>
      </c>
      <c r="AF192" s="14"/>
      <c r="AG192" s="14" t="s">
        <v>196</v>
      </c>
      <c r="AH192" s="24" t="s">
        <v>726</v>
      </c>
    </row>
    <row r="193" spans="2:34" x14ac:dyDescent="0.3">
      <c r="B193" s="307"/>
      <c r="C193" s="342"/>
      <c r="D193" s="308"/>
      <c r="E193" s="315"/>
      <c r="F193" s="417"/>
      <c r="G193" s="14" t="s">
        <v>658</v>
      </c>
      <c r="H193" s="14" t="s">
        <v>752</v>
      </c>
      <c r="I193" s="392"/>
      <c r="J193" s="14" t="s">
        <v>76</v>
      </c>
      <c r="K193" s="14" t="s">
        <v>93</v>
      </c>
      <c r="L193" s="416"/>
      <c r="M193" s="346"/>
      <c r="N193" s="416"/>
      <c r="O193" s="416"/>
      <c r="P193" s="346"/>
      <c r="Q193" s="416"/>
      <c r="R193" s="416"/>
      <c r="S193" s="315"/>
      <c r="T193" s="367"/>
      <c r="U193" s="315"/>
      <c r="V193" s="315"/>
      <c r="W193" s="315"/>
      <c r="X193" s="315"/>
      <c r="Y193" s="315"/>
      <c r="Z193" s="315"/>
      <c r="AA193" s="315"/>
      <c r="AB193" s="315"/>
      <c r="AC193" s="14" t="s">
        <v>785</v>
      </c>
      <c r="AD193" s="14" t="s">
        <v>473</v>
      </c>
      <c r="AE193" s="14" t="s">
        <v>473</v>
      </c>
      <c r="AF193" s="14"/>
      <c r="AG193" s="14" t="s">
        <v>517</v>
      </c>
      <c r="AH193" s="24" t="s">
        <v>730</v>
      </c>
    </row>
    <row r="194" spans="2:34" x14ac:dyDescent="0.3">
      <c r="B194" s="307"/>
      <c r="C194" s="342"/>
      <c r="D194" s="308"/>
      <c r="E194" s="315"/>
      <c r="F194" s="417"/>
      <c r="G194" s="14" t="s">
        <v>659</v>
      </c>
      <c r="H194" s="14" t="s">
        <v>753</v>
      </c>
      <c r="I194" s="392"/>
      <c r="J194" s="14" t="s">
        <v>76</v>
      </c>
      <c r="K194" s="14" t="s">
        <v>93</v>
      </c>
      <c r="L194" s="416"/>
      <c r="M194" s="346"/>
      <c r="N194" s="416"/>
      <c r="O194" s="416"/>
      <c r="P194" s="346"/>
      <c r="Q194" s="416"/>
      <c r="R194" s="416"/>
      <c r="S194" s="315"/>
      <c r="T194" s="367"/>
      <c r="U194" s="315"/>
      <c r="V194" s="315"/>
      <c r="W194" s="315"/>
      <c r="X194" s="315"/>
      <c r="Y194" s="315"/>
      <c r="Z194" s="315"/>
      <c r="AA194" s="315"/>
      <c r="AB194" s="315"/>
      <c r="AC194" s="14" t="s">
        <v>786</v>
      </c>
      <c r="AD194" s="14" t="s">
        <v>473</v>
      </c>
      <c r="AE194" s="14" t="s">
        <v>473</v>
      </c>
      <c r="AF194" s="14"/>
      <c r="AG194" s="14" t="s">
        <v>235</v>
      </c>
      <c r="AH194" s="24" t="s">
        <v>732</v>
      </c>
    </row>
    <row r="195" spans="2:34" x14ac:dyDescent="0.3">
      <c r="B195" s="307"/>
      <c r="C195" s="342"/>
      <c r="D195" s="308"/>
      <c r="E195" s="315"/>
      <c r="F195" s="417"/>
      <c r="G195" s="14" t="s">
        <v>660</v>
      </c>
      <c r="H195" s="14" t="s">
        <v>754</v>
      </c>
      <c r="I195" s="392"/>
      <c r="J195" s="14" t="s">
        <v>76</v>
      </c>
      <c r="K195" s="14" t="s">
        <v>93</v>
      </c>
      <c r="L195" s="416"/>
      <c r="M195" s="346"/>
      <c r="N195" s="416"/>
      <c r="O195" s="416"/>
      <c r="P195" s="346"/>
      <c r="Q195" s="416"/>
      <c r="R195" s="416"/>
      <c r="S195" s="315"/>
      <c r="T195" s="367"/>
      <c r="U195" s="315"/>
      <c r="V195" s="315"/>
      <c r="W195" s="315"/>
      <c r="X195" s="315"/>
      <c r="Y195" s="315"/>
      <c r="Z195" s="315"/>
      <c r="AA195" s="315"/>
      <c r="AB195" s="315"/>
      <c r="AC195" s="14" t="s">
        <v>787</v>
      </c>
      <c r="AD195" s="14" t="s">
        <v>473</v>
      </c>
      <c r="AE195" s="14" t="s">
        <v>473</v>
      </c>
      <c r="AF195" s="14"/>
      <c r="AG195" s="14" t="s">
        <v>525</v>
      </c>
      <c r="AH195" s="24" t="s">
        <v>730</v>
      </c>
    </row>
    <row r="196" spans="2:34" x14ac:dyDescent="0.3">
      <c r="B196" s="307"/>
      <c r="C196" s="342"/>
      <c r="D196" s="308"/>
      <c r="E196" s="315"/>
      <c r="F196" s="417"/>
      <c r="G196" s="14" t="s">
        <v>661</v>
      </c>
      <c r="H196" s="14" t="s">
        <v>755</v>
      </c>
      <c r="I196" s="392"/>
      <c r="J196" s="14" t="s">
        <v>393</v>
      </c>
      <c r="K196" s="14" t="s">
        <v>93</v>
      </c>
      <c r="L196" s="416"/>
      <c r="M196" s="346"/>
      <c r="N196" s="416"/>
      <c r="O196" s="416"/>
      <c r="P196" s="346"/>
      <c r="Q196" s="416"/>
      <c r="R196" s="416"/>
      <c r="S196" s="315"/>
      <c r="T196" s="367"/>
      <c r="U196" s="315"/>
      <c r="V196" s="315"/>
      <c r="W196" s="315"/>
      <c r="X196" s="315"/>
      <c r="Y196" s="315"/>
      <c r="Z196" s="315"/>
      <c r="AA196" s="315"/>
      <c r="AB196" s="315"/>
      <c r="AC196" s="14" t="s">
        <v>788</v>
      </c>
      <c r="AD196" s="14" t="s">
        <v>473</v>
      </c>
      <c r="AE196" s="14" t="s">
        <v>473</v>
      </c>
      <c r="AF196" s="14"/>
      <c r="AG196" s="14" t="s">
        <v>240</v>
      </c>
      <c r="AH196" s="24" t="s">
        <v>735</v>
      </c>
    </row>
    <row r="197" spans="2:34" x14ac:dyDescent="0.3">
      <c r="B197" s="307"/>
      <c r="C197" s="342"/>
      <c r="D197" s="308"/>
      <c r="E197" s="315"/>
      <c r="F197" s="417"/>
      <c r="G197" s="14" t="s">
        <v>663</v>
      </c>
      <c r="H197" s="14" t="s">
        <v>756</v>
      </c>
      <c r="I197" s="392"/>
      <c r="J197" s="14" t="s">
        <v>76</v>
      </c>
      <c r="K197" s="14" t="s">
        <v>93</v>
      </c>
      <c r="L197" s="416"/>
      <c r="M197" s="346"/>
      <c r="N197" s="416"/>
      <c r="O197" s="416"/>
      <c r="P197" s="346"/>
      <c r="Q197" s="416"/>
      <c r="R197" s="416"/>
      <c r="S197" s="315"/>
      <c r="T197" s="367"/>
      <c r="U197" s="315"/>
      <c r="V197" s="315"/>
      <c r="W197" s="315"/>
      <c r="X197" s="315"/>
      <c r="Y197" s="315"/>
      <c r="Z197" s="315"/>
      <c r="AA197" s="315"/>
      <c r="AB197" s="315"/>
      <c r="AC197" s="14" t="s">
        <v>789</v>
      </c>
      <c r="AD197" s="14" t="s">
        <v>473</v>
      </c>
      <c r="AE197" s="14" t="s">
        <v>473</v>
      </c>
      <c r="AF197" s="14"/>
      <c r="AG197" s="14" t="s">
        <v>737</v>
      </c>
      <c r="AH197" s="24" t="s">
        <v>737</v>
      </c>
    </row>
    <row r="198" spans="2:34" x14ac:dyDescent="0.3">
      <c r="B198" s="307"/>
      <c r="C198" s="342"/>
      <c r="D198" s="308"/>
      <c r="E198" s="315"/>
      <c r="F198" s="417"/>
      <c r="G198" s="14" t="s">
        <v>113</v>
      </c>
      <c r="H198" s="14" t="s">
        <v>757</v>
      </c>
      <c r="I198" s="392"/>
      <c r="J198" s="14" t="s">
        <v>76</v>
      </c>
      <c r="K198" s="14" t="s">
        <v>93</v>
      </c>
      <c r="L198" s="416"/>
      <c r="M198" s="346"/>
      <c r="N198" s="416"/>
      <c r="O198" s="416"/>
      <c r="P198" s="346"/>
      <c r="Q198" s="416"/>
      <c r="R198" s="416"/>
      <c r="S198" s="315"/>
      <c r="T198" s="367"/>
      <c r="U198" s="315"/>
      <c r="V198" s="315"/>
      <c r="W198" s="315"/>
      <c r="X198" s="315"/>
      <c r="Y198" s="315"/>
      <c r="Z198" s="315"/>
      <c r="AA198" s="315"/>
      <c r="AB198" s="315"/>
      <c r="AC198" s="14" t="s">
        <v>790</v>
      </c>
      <c r="AD198" s="14" t="s">
        <v>473</v>
      </c>
      <c r="AE198" s="14" t="s">
        <v>473</v>
      </c>
      <c r="AF198" s="14"/>
      <c r="AG198" s="14" t="s">
        <v>285</v>
      </c>
      <c r="AH198" s="24" t="s">
        <v>692</v>
      </c>
    </row>
    <row r="199" spans="2:34" x14ac:dyDescent="0.3">
      <c r="B199" s="307"/>
      <c r="C199" s="342"/>
      <c r="D199" s="308"/>
      <c r="E199" s="315"/>
      <c r="F199" s="417"/>
      <c r="G199" s="14" t="s">
        <v>127</v>
      </c>
      <c r="H199" s="14">
        <v>1282</v>
      </c>
      <c r="I199" s="392"/>
      <c r="J199" s="14" t="s">
        <v>76</v>
      </c>
      <c r="K199" s="14">
        <v>50</v>
      </c>
      <c r="L199" s="416"/>
      <c r="M199" s="346"/>
      <c r="N199" s="416"/>
      <c r="O199" s="416"/>
      <c r="P199" s="346"/>
      <c r="Q199" s="416"/>
      <c r="R199" s="416"/>
      <c r="S199" s="315"/>
      <c r="T199" s="367"/>
      <c r="U199" s="315"/>
      <c r="V199" s="315"/>
      <c r="W199" s="315"/>
      <c r="X199" s="315"/>
      <c r="Y199" s="315"/>
      <c r="Z199" s="315"/>
      <c r="AA199" s="315"/>
      <c r="AB199" s="315"/>
      <c r="AC199" s="14"/>
      <c r="AD199" s="14"/>
      <c r="AE199" s="14"/>
      <c r="AF199" s="14"/>
      <c r="AG199" s="14"/>
      <c r="AH199" s="24"/>
    </row>
    <row r="200" spans="2:34" x14ac:dyDescent="0.3">
      <c r="B200" s="307"/>
      <c r="C200" s="342"/>
      <c r="D200" s="308"/>
      <c r="E200" s="315"/>
      <c r="F200" s="417"/>
      <c r="G200" s="14" t="s">
        <v>132</v>
      </c>
      <c r="H200" s="14">
        <v>1282</v>
      </c>
      <c r="I200" s="392"/>
      <c r="J200" s="14" t="s">
        <v>758</v>
      </c>
      <c r="K200" s="14"/>
      <c r="L200" s="416"/>
      <c r="M200" s="346"/>
      <c r="N200" s="416"/>
      <c r="O200" s="416"/>
      <c r="P200" s="346"/>
      <c r="Q200" s="416"/>
      <c r="R200" s="416"/>
      <c r="S200" s="315"/>
      <c r="T200" s="367"/>
      <c r="U200" s="315"/>
      <c r="V200" s="315"/>
      <c r="W200" s="315"/>
      <c r="X200" s="315"/>
      <c r="Y200" s="315"/>
      <c r="Z200" s="315"/>
      <c r="AA200" s="315"/>
      <c r="AB200" s="315"/>
      <c r="AC200" s="14" t="s">
        <v>791</v>
      </c>
      <c r="AD200" s="14" t="s">
        <v>473</v>
      </c>
      <c r="AE200" s="14" t="s">
        <v>473</v>
      </c>
      <c r="AF200" s="14"/>
      <c r="AG200" s="14" t="s">
        <v>743</v>
      </c>
      <c r="AH200" s="24" t="s">
        <v>743</v>
      </c>
    </row>
    <row r="201" spans="2:34" x14ac:dyDescent="0.3">
      <c r="B201" s="307"/>
      <c r="C201" s="342"/>
      <c r="D201" s="308"/>
      <c r="E201" s="316"/>
      <c r="F201" s="366"/>
      <c r="G201" s="63" t="s">
        <v>759</v>
      </c>
      <c r="H201" s="29"/>
      <c r="I201" s="393"/>
      <c r="J201" s="29"/>
      <c r="K201" s="29"/>
      <c r="L201" s="345"/>
      <c r="M201" s="347"/>
      <c r="N201" s="345"/>
      <c r="O201" s="345"/>
      <c r="P201" s="347"/>
      <c r="Q201" s="345"/>
      <c r="R201" s="345"/>
      <c r="S201" s="316"/>
      <c r="T201" s="368"/>
      <c r="U201" s="316"/>
      <c r="V201" s="316"/>
      <c r="W201" s="316"/>
      <c r="X201" s="316"/>
      <c r="Y201" s="316"/>
      <c r="Z201" s="316"/>
      <c r="AA201" s="316"/>
      <c r="AB201" s="316"/>
      <c r="AC201" s="30" t="s">
        <v>791</v>
      </c>
      <c r="AD201" s="30" t="s">
        <v>473</v>
      </c>
      <c r="AE201" s="30" t="s">
        <v>473</v>
      </c>
      <c r="AF201" s="30"/>
      <c r="AG201" s="30" t="s">
        <v>473</v>
      </c>
      <c r="AH201" s="31" t="s">
        <v>473</v>
      </c>
    </row>
    <row r="202" spans="2:34" ht="14.4" customHeight="1" x14ac:dyDescent="0.3">
      <c r="B202" s="307"/>
      <c r="C202" s="342"/>
      <c r="D202" s="408" t="s">
        <v>792</v>
      </c>
      <c r="E202" s="408"/>
      <c r="F202" s="409" t="s">
        <v>11</v>
      </c>
      <c r="G202" s="32" t="s">
        <v>37</v>
      </c>
      <c r="H202" s="32" t="s">
        <v>798</v>
      </c>
      <c r="I202" s="385" t="s">
        <v>1069</v>
      </c>
      <c r="J202" s="32" t="s">
        <v>76</v>
      </c>
      <c r="K202" s="32" t="s">
        <v>93</v>
      </c>
      <c r="L202" s="394" t="s">
        <v>1068</v>
      </c>
      <c r="M202" s="348" t="s">
        <v>845</v>
      </c>
      <c r="N202" s="394" t="s">
        <v>1039</v>
      </c>
      <c r="O202" s="394" t="s">
        <v>825</v>
      </c>
      <c r="P202" s="348" t="s">
        <v>1000</v>
      </c>
      <c r="Q202" s="394" t="s">
        <v>669</v>
      </c>
      <c r="R202" s="394" t="s">
        <v>670</v>
      </c>
      <c r="S202" s="410" t="s">
        <v>993</v>
      </c>
      <c r="T202" s="369" t="s">
        <v>1092</v>
      </c>
      <c r="U202" s="410" t="s">
        <v>668</v>
      </c>
      <c r="V202" s="410"/>
      <c r="W202" s="410"/>
      <c r="X202" s="410"/>
      <c r="Y202" s="410"/>
      <c r="Z202" s="410"/>
      <c r="AA202" s="32" t="s">
        <v>150</v>
      </c>
      <c r="AB202" s="32" t="s">
        <v>150</v>
      </c>
      <c r="AC202" s="410" t="s">
        <v>360</v>
      </c>
      <c r="AD202" s="410"/>
      <c r="AE202" s="410"/>
      <c r="AF202" s="410"/>
      <c r="AG202" s="410"/>
      <c r="AH202" s="449"/>
    </row>
    <row r="203" spans="2:34" x14ac:dyDescent="0.3">
      <c r="B203" s="307"/>
      <c r="C203" s="342"/>
      <c r="D203" s="408"/>
      <c r="E203" s="408"/>
      <c r="F203" s="409"/>
      <c r="G203" s="32" t="s">
        <v>63</v>
      </c>
      <c r="H203" s="32" t="s">
        <v>799</v>
      </c>
      <c r="I203" s="386"/>
      <c r="J203" s="32" t="s">
        <v>800</v>
      </c>
      <c r="K203" s="32" t="s">
        <v>93</v>
      </c>
      <c r="L203" s="394"/>
      <c r="M203" s="349"/>
      <c r="N203" s="394"/>
      <c r="O203" s="394"/>
      <c r="P203" s="349"/>
      <c r="Q203" s="394"/>
      <c r="R203" s="394"/>
      <c r="S203" s="410"/>
      <c r="T203" s="370"/>
      <c r="U203" s="410"/>
      <c r="V203" s="410"/>
      <c r="W203" s="410"/>
      <c r="X203" s="410"/>
      <c r="Y203" s="410"/>
      <c r="Z203" s="410"/>
      <c r="AA203" s="32" t="s">
        <v>150</v>
      </c>
      <c r="AB203" s="32" t="s">
        <v>150</v>
      </c>
      <c r="AC203" s="410"/>
      <c r="AD203" s="410"/>
      <c r="AE203" s="410"/>
      <c r="AF203" s="410"/>
      <c r="AG203" s="410"/>
      <c r="AH203" s="449"/>
    </row>
    <row r="204" spans="2:34" x14ac:dyDescent="0.3">
      <c r="B204" s="307"/>
      <c r="C204" s="342"/>
      <c r="D204" s="408"/>
      <c r="E204" s="408"/>
      <c r="F204" s="409"/>
      <c r="G204" s="32" t="s">
        <v>801</v>
      </c>
      <c r="H204" s="32" t="s">
        <v>802</v>
      </c>
      <c r="I204" s="386"/>
      <c r="J204" s="32" t="s">
        <v>76</v>
      </c>
      <c r="K204" s="32" t="s">
        <v>93</v>
      </c>
      <c r="L204" s="394"/>
      <c r="M204" s="349"/>
      <c r="N204" s="394"/>
      <c r="O204" s="394"/>
      <c r="P204" s="349"/>
      <c r="Q204" s="394"/>
      <c r="R204" s="394"/>
      <c r="S204" s="410"/>
      <c r="T204" s="370"/>
      <c r="U204" s="410"/>
      <c r="V204" s="410"/>
      <c r="W204" s="410"/>
      <c r="X204" s="410"/>
      <c r="Y204" s="410"/>
      <c r="Z204" s="410"/>
      <c r="AA204" s="32" t="s">
        <v>150</v>
      </c>
      <c r="AB204" s="32" t="s">
        <v>150</v>
      </c>
      <c r="AC204" s="410"/>
      <c r="AD204" s="410"/>
      <c r="AE204" s="410"/>
      <c r="AF204" s="410"/>
      <c r="AG204" s="410"/>
      <c r="AH204" s="449"/>
    </row>
    <row r="205" spans="2:34" x14ac:dyDescent="0.3">
      <c r="B205" s="307"/>
      <c r="C205" s="342"/>
      <c r="D205" s="408"/>
      <c r="E205" s="408"/>
      <c r="F205" s="409"/>
      <c r="G205" s="32" t="s">
        <v>39</v>
      </c>
      <c r="H205" s="32" t="s">
        <v>804</v>
      </c>
      <c r="I205" s="386"/>
      <c r="J205" s="32" t="s">
        <v>76</v>
      </c>
      <c r="K205" s="32" t="s">
        <v>803</v>
      </c>
      <c r="L205" s="394"/>
      <c r="M205" s="349"/>
      <c r="N205" s="394"/>
      <c r="O205" s="394"/>
      <c r="P205" s="349"/>
      <c r="Q205" s="394"/>
      <c r="R205" s="394"/>
      <c r="S205" s="410"/>
      <c r="T205" s="370"/>
      <c r="U205" s="410"/>
      <c r="V205" s="410"/>
      <c r="W205" s="410"/>
      <c r="X205" s="410"/>
      <c r="Y205" s="410"/>
      <c r="Z205" s="410"/>
      <c r="AA205" s="32" t="s">
        <v>150</v>
      </c>
      <c r="AB205" s="32" t="s">
        <v>150</v>
      </c>
      <c r="AC205" s="410"/>
      <c r="AD205" s="410"/>
      <c r="AE205" s="410"/>
      <c r="AF205" s="410"/>
      <c r="AG205" s="410"/>
      <c r="AH205" s="449"/>
    </row>
    <row r="206" spans="2:34" x14ac:dyDescent="0.3">
      <c r="B206" s="307"/>
      <c r="C206" s="342"/>
      <c r="D206" s="408"/>
      <c r="E206" s="408"/>
      <c r="F206" s="409"/>
      <c r="G206" s="32" t="s">
        <v>40</v>
      </c>
      <c r="H206" s="32" t="s">
        <v>806</v>
      </c>
      <c r="I206" s="386"/>
      <c r="J206" s="32" t="s">
        <v>76</v>
      </c>
      <c r="K206" s="32" t="s">
        <v>805</v>
      </c>
      <c r="L206" s="394"/>
      <c r="M206" s="349"/>
      <c r="N206" s="394"/>
      <c r="O206" s="394"/>
      <c r="P206" s="349"/>
      <c r="Q206" s="394"/>
      <c r="R206" s="394"/>
      <c r="S206" s="410"/>
      <c r="T206" s="370"/>
      <c r="U206" s="410"/>
      <c r="V206" s="410"/>
      <c r="W206" s="410"/>
      <c r="X206" s="410"/>
      <c r="Y206" s="410"/>
      <c r="Z206" s="410"/>
      <c r="AA206" s="32" t="s">
        <v>150</v>
      </c>
      <c r="AB206" s="32" t="s">
        <v>150</v>
      </c>
      <c r="AC206" s="410"/>
      <c r="AD206" s="410"/>
      <c r="AE206" s="410"/>
      <c r="AF206" s="410"/>
      <c r="AG206" s="410"/>
      <c r="AH206" s="449"/>
    </row>
    <row r="207" spans="2:34" x14ac:dyDescent="0.3">
      <c r="B207" s="307"/>
      <c r="C207" s="342"/>
      <c r="D207" s="408"/>
      <c r="E207" s="408"/>
      <c r="F207" s="409"/>
      <c r="G207" s="32" t="s">
        <v>42</v>
      </c>
      <c r="H207" s="32" t="s">
        <v>807</v>
      </c>
      <c r="I207" s="386"/>
      <c r="J207" s="32" t="s">
        <v>76</v>
      </c>
      <c r="K207" s="32" t="s">
        <v>805</v>
      </c>
      <c r="L207" s="394"/>
      <c r="M207" s="349"/>
      <c r="N207" s="394"/>
      <c r="O207" s="394"/>
      <c r="P207" s="349"/>
      <c r="Q207" s="394"/>
      <c r="R207" s="394"/>
      <c r="S207" s="410"/>
      <c r="T207" s="370"/>
      <c r="U207" s="410"/>
      <c r="V207" s="410"/>
      <c r="W207" s="410"/>
      <c r="X207" s="410"/>
      <c r="Y207" s="410"/>
      <c r="Z207" s="410"/>
      <c r="AA207" s="32" t="s">
        <v>150</v>
      </c>
      <c r="AB207" s="32" t="s">
        <v>150</v>
      </c>
      <c r="AC207" s="410"/>
      <c r="AD207" s="410"/>
      <c r="AE207" s="410"/>
      <c r="AF207" s="410"/>
      <c r="AG207" s="410"/>
      <c r="AH207" s="449"/>
    </row>
    <row r="208" spans="2:34" x14ac:dyDescent="0.3">
      <c r="B208" s="307"/>
      <c r="C208" s="342"/>
      <c r="D208" s="408"/>
      <c r="E208" s="408"/>
      <c r="F208" s="409"/>
      <c r="G208" s="32" t="s">
        <v>43</v>
      </c>
      <c r="H208" s="32" t="s">
        <v>808</v>
      </c>
      <c r="I208" s="386"/>
      <c r="J208" s="32" t="s">
        <v>76</v>
      </c>
      <c r="K208" s="32" t="s">
        <v>805</v>
      </c>
      <c r="L208" s="394"/>
      <c r="M208" s="349"/>
      <c r="N208" s="394"/>
      <c r="O208" s="394"/>
      <c r="P208" s="349"/>
      <c r="Q208" s="394"/>
      <c r="R208" s="394"/>
      <c r="S208" s="410"/>
      <c r="T208" s="370"/>
      <c r="U208" s="410"/>
      <c r="V208" s="410"/>
      <c r="W208" s="410"/>
      <c r="X208" s="410"/>
      <c r="Y208" s="410"/>
      <c r="Z208" s="410"/>
      <c r="AA208" s="32" t="s">
        <v>150</v>
      </c>
      <c r="AB208" s="32" t="s">
        <v>150</v>
      </c>
      <c r="AC208" s="410"/>
      <c r="AD208" s="410"/>
      <c r="AE208" s="410"/>
      <c r="AF208" s="410"/>
      <c r="AG208" s="410"/>
      <c r="AH208" s="449"/>
    </row>
    <row r="209" spans="2:34" x14ac:dyDescent="0.3">
      <c r="B209" s="307"/>
      <c r="C209" s="342"/>
      <c r="D209" s="408"/>
      <c r="E209" s="408"/>
      <c r="F209" s="409"/>
      <c r="G209" s="32" t="s">
        <v>809</v>
      </c>
      <c r="H209" s="32">
        <v>1684</v>
      </c>
      <c r="I209" s="386"/>
      <c r="J209" s="32"/>
      <c r="K209" s="32">
        <v>350</v>
      </c>
      <c r="L209" s="394"/>
      <c r="M209" s="349"/>
      <c r="N209" s="394"/>
      <c r="O209" s="394"/>
      <c r="P209" s="349"/>
      <c r="Q209" s="394"/>
      <c r="R209" s="394"/>
      <c r="S209" s="410"/>
      <c r="T209" s="370"/>
      <c r="U209" s="410"/>
      <c r="V209" s="410"/>
      <c r="W209" s="410"/>
      <c r="X209" s="410"/>
      <c r="Y209" s="410"/>
      <c r="Z209" s="410"/>
      <c r="AA209" s="32" t="s">
        <v>150</v>
      </c>
      <c r="AB209" s="32" t="s">
        <v>150</v>
      </c>
      <c r="AC209" s="410"/>
      <c r="AD209" s="410"/>
      <c r="AE209" s="410"/>
      <c r="AF209" s="410"/>
      <c r="AG209" s="410"/>
      <c r="AH209" s="449"/>
    </row>
    <row r="210" spans="2:34" x14ac:dyDescent="0.3">
      <c r="B210" s="307"/>
      <c r="C210" s="342"/>
      <c r="D210" s="408"/>
      <c r="E210" s="408"/>
      <c r="F210" s="409"/>
      <c r="G210" s="32" t="s">
        <v>810</v>
      </c>
      <c r="H210" s="32">
        <v>1684</v>
      </c>
      <c r="I210" s="386"/>
      <c r="J210" s="32" t="s">
        <v>811</v>
      </c>
      <c r="K210" s="32">
        <v>350</v>
      </c>
      <c r="L210" s="394"/>
      <c r="M210" s="349"/>
      <c r="N210" s="394"/>
      <c r="O210" s="394"/>
      <c r="P210" s="349"/>
      <c r="Q210" s="394"/>
      <c r="R210" s="394"/>
      <c r="S210" s="410"/>
      <c r="T210" s="370"/>
      <c r="U210" s="410"/>
      <c r="V210" s="410"/>
      <c r="W210" s="410"/>
      <c r="X210" s="410"/>
      <c r="Y210" s="410"/>
      <c r="Z210" s="410"/>
      <c r="AA210" s="32" t="s">
        <v>150</v>
      </c>
      <c r="AB210" s="32" t="s">
        <v>828</v>
      </c>
      <c r="AC210" s="410"/>
      <c r="AD210" s="410"/>
      <c r="AE210" s="410"/>
      <c r="AF210" s="410"/>
      <c r="AG210" s="410"/>
      <c r="AH210" s="449"/>
    </row>
    <row r="211" spans="2:34" x14ac:dyDescent="0.3">
      <c r="B211" s="307"/>
      <c r="C211" s="342"/>
      <c r="D211" s="408"/>
      <c r="E211" s="408"/>
      <c r="F211" s="409"/>
      <c r="G211" s="32" t="s">
        <v>28</v>
      </c>
      <c r="H211" s="32">
        <v>551</v>
      </c>
      <c r="I211" s="386"/>
      <c r="J211" s="32" t="s">
        <v>76</v>
      </c>
      <c r="K211" s="32">
        <v>380</v>
      </c>
      <c r="L211" s="394"/>
      <c r="M211" s="349"/>
      <c r="N211" s="394"/>
      <c r="O211" s="394"/>
      <c r="P211" s="349"/>
      <c r="Q211" s="394"/>
      <c r="R211" s="394"/>
      <c r="S211" s="410"/>
      <c r="T211" s="370"/>
      <c r="U211" s="410"/>
      <c r="V211" s="410"/>
      <c r="W211" s="410"/>
      <c r="X211" s="410"/>
      <c r="Y211" s="410"/>
      <c r="Z211" s="410"/>
      <c r="AA211" s="32" t="s">
        <v>150</v>
      </c>
      <c r="AB211" s="32" t="s">
        <v>150</v>
      </c>
      <c r="AC211" s="410"/>
      <c r="AD211" s="410"/>
      <c r="AE211" s="410"/>
      <c r="AF211" s="410"/>
      <c r="AG211" s="410"/>
      <c r="AH211" s="449"/>
    </row>
    <row r="212" spans="2:34" x14ac:dyDescent="0.3">
      <c r="B212" s="307"/>
      <c r="C212" s="342"/>
      <c r="D212" s="408"/>
      <c r="E212" s="408"/>
      <c r="F212" s="409"/>
      <c r="G212" s="32" t="s">
        <v>812</v>
      </c>
      <c r="H212" s="32" t="s">
        <v>813</v>
      </c>
      <c r="I212" s="386"/>
      <c r="J212" s="32" t="s">
        <v>76</v>
      </c>
      <c r="K212" s="32">
        <v>9</v>
      </c>
      <c r="L212" s="394"/>
      <c r="M212" s="349"/>
      <c r="N212" s="394"/>
      <c r="O212" s="394"/>
      <c r="P212" s="349"/>
      <c r="Q212" s="394"/>
      <c r="R212" s="394"/>
      <c r="S212" s="410"/>
      <c r="T212" s="370"/>
      <c r="U212" s="410"/>
      <c r="V212" s="410"/>
      <c r="W212" s="410"/>
      <c r="X212" s="410"/>
      <c r="Y212" s="410"/>
      <c r="Z212" s="410"/>
      <c r="AA212" s="32" t="s">
        <v>150</v>
      </c>
      <c r="AB212" s="32" t="s">
        <v>150</v>
      </c>
      <c r="AC212" s="410"/>
      <c r="AD212" s="410"/>
      <c r="AE212" s="410"/>
      <c r="AF212" s="410"/>
      <c r="AG212" s="410"/>
      <c r="AH212" s="449"/>
    </row>
    <row r="213" spans="2:34" x14ac:dyDescent="0.3">
      <c r="B213" s="307"/>
      <c r="C213" s="342"/>
      <c r="D213" s="408"/>
      <c r="E213" s="408"/>
      <c r="F213" s="409"/>
      <c r="G213" s="32" t="s">
        <v>814</v>
      </c>
      <c r="H213" s="32" t="s">
        <v>815</v>
      </c>
      <c r="I213" s="386"/>
      <c r="J213" s="32" t="s">
        <v>76</v>
      </c>
      <c r="K213" s="32">
        <v>50</v>
      </c>
      <c r="L213" s="394"/>
      <c r="M213" s="349"/>
      <c r="N213" s="394"/>
      <c r="O213" s="394"/>
      <c r="P213" s="349"/>
      <c r="Q213" s="394"/>
      <c r="R213" s="394"/>
      <c r="S213" s="410"/>
      <c r="T213" s="370"/>
      <c r="U213" s="410"/>
      <c r="V213" s="410"/>
      <c r="W213" s="410"/>
      <c r="X213" s="410"/>
      <c r="Y213" s="410"/>
      <c r="Z213" s="410"/>
      <c r="AA213" s="32" t="s">
        <v>150</v>
      </c>
      <c r="AB213" s="32" t="s">
        <v>150</v>
      </c>
      <c r="AC213" s="410"/>
      <c r="AD213" s="410"/>
      <c r="AE213" s="410"/>
      <c r="AF213" s="410"/>
      <c r="AG213" s="410"/>
      <c r="AH213" s="449"/>
    </row>
    <row r="214" spans="2:34" x14ac:dyDescent="0.3">
      <c r="B214" s="307"/>
      <c r="C214" s="342"/>
      <c r="D214" s="408"/>
      <c r="E214" s="408"/>
      <c r="F214" s="409"/>
      <c r="G214" s="32" t="s">
        <v>816</v>
      </c>
      <c r="H214" s="32">
        <v>10100</v>
      </c>
      <c r="I214" s="386"/>
      <c r="J214" s="32" t="s">
        <v>76</v>
      </c>
      <c r="K214" s="32">
        <v>3106</v>
      </c>
      <c r="L214" s="394"/>
      <c r="M214" s="349"/>
      <c r="N214" s="394"/>
      <c r="O214" s="394"/>
      <c r="P214" s="349"/>
      <c r="Q214" s="394"/>
      <c r="R214" s="394"/>
      <c r="S214" s="410"/>
      <c r="T214" s="370"/>
      <c r="U214" s="410"/>
      <c r="V214" s="410"/>
      <c r="W214" s="410"/>
      <c r="X214" s="410"/>
      <c r="Y214" s="410"/>
      <c r="Z214" s="410"/>
      <c r="AA214" s="32" t="s">
        <v>150</v>
      </c>
      <c r="AB214" s="32" t="s">
        <v>150</v>
      </c>
      <c r="AC214" s="410"/>
      <c r="AD214" s="410"/>
      <c r="AE214" s="410"/>
      <c r="AF214" s="410"/>
      <c r="AG214" s="410"/>
      <c r="AH214" s="449"/>
    </row>
    <row r="215" spans="2:34" x14ac:dyDescent="0.3">
      <c r="B215" s="307"/>
      <c r="C215" s="342"/>
      <c r="D215" s="408"/>
      <c r="E215" s="408"/>
      <c r="F215" s="409"/>
      <c r="G215" s="32" t="s">
        <v>817</v>
      </c>
      <c r="H215" s="32">
        <v>2230</v>
      </c>
      <c r="I215" s="386"/>
      <c r="J215" s="32" t="s">
        <v>76</v>
      </c>
      <c r="K215" s="32">
        <v>1104</v>
      </c>
      <c r="L215" s="394"/>
      <c r="M215" s="349"/>
      <c r="N215" s="394"/>
      <c r="O215" s="394"/>
      <c r="P215" s="349"/>
      <c r="Q215" s="394"/>
      <c r="R215" s="394"/>
      <c r="S215" s="410"/>
      <c r="T215" s="370"/>
      <c r="U215" s="410"/>
      <c r="V215" s="410"/>
      <c r="W215" s="410"/>
      <c r="X215" s="410"/>
      <c r="Y215" s="410"/>
      <c r="Z215" s="410"/>
      <c r="AA215" s="32" t="s">
        <v>150</v>
      </c>
      <c r="AB215" s="32" t="s">
        <v>150</v>
      </c>
      <c r="AC215" s="410"/>
      <c r="AD215" s="410"/>
      <c r="AE215" s="410"/>
      <c r="AF215" s="410"/>
      <c r="AG215" s="410"/>
      <c r="AH215" s="449"/>
    </row>
    <row r="216" spans="2:34" x14ac:dyDescent="0.3">
      <c r="B216" s="307"/>
      <c r="C216" s="342"/>
      <c r="D216" s="408"/>
      <c r="E216" s="408"/>
      <c r="F216" s="409"/>
      <c r="G216" s="32" t="s">
        <v>31</v>
      </c>
      <c r="H216" s="32" t="s">
        <v>818</v>
      </c>
      <c r="I216" s="386"/>
      <c r="J216" s="32" t="s">
        <v>819</v>
      </c>
      <c r="K216" s="32">
        <v>1</v>
      </c>
      <c r="L216" s="394"/>
      <c r="M216" s="349"/>
      <c r="N216" s="394"/>
      <c r="O216" s="394"/>
      <c r="P216" s="349"/>
      <c r="Q216" s="394"/>
      <c r="R216" s="394"/>
      <c r="S216" s="410"/>
      <c r="T216" s="370"/>
      <c r="U216" s="410"/>
      <c r="V216" s="410"/>
      <c r="W216" s="410"/>
      <c r="X216" s="410"/>
      <c r="Y216" s="410"/>
      <c r="Z216" s="410"/>
      <c r="AA216" s="32" t="s">
        <v>150</v>
      </c>
      <c r="AB216" s="32" t="s">
        <v>829</v>
      </c>
      <c r="AC216" s="410"/>
      <c r="AD216" s="410"/>
      <c r="AE216" s="410"/>
      <c r="AF216" s="410"/>
      <c r="AG216" s="410"/>
      <c r="AH216" s="449"/>
    </row>
    <row r="217" spans="2:34" x14ac:dyDescent="0.3">
      <c r="B217" s="307"/>
      <c r="C217" s="342"/>
      <c r="D217" s="408"/>
      <c r="E217" s="408"/>
      <c r="F217" s="409"/>
      <c r="G217" s="32" t="s">
        <v>32</v>
      </c>
      <c r="H217" s="32" t="s">
        <v>820</v>
      </c>
      <c r="I217" s="386"/>
      <c r="J217" s="32" t="s">
        <v>76</v>
      </c>
      <c r="K217" s="32">
        <v>19</v>
      </c>
      <c r="L217" s="394"/>
      <c r="M217" s="349"/>
      <c r="N217" s="394"/>
      <c r="O217" s="394"/>
      <c r="P217" s="349"/>
      <c r="Q217" s="394"/>
      <c r="R217" s="394"/>
      <c r="S217" s="410"/>
      <c r="T217" s="370"/>
      <c r="U217" s="410"/>
      <c r="V217" s="410"/>
      <c r="W217" s="410"/>
      <c r="X217" s="410"/>
      <c r="Y217" s="410"/>
      <c r="Z217" s="410"/>
      <c r="AA217" s="32" t="s">
        <v>150</v>
      </c>
      <c r="AB217" s="32" t="s">
        <v>150</v>
      </c>
      <c r="AC217" s="410"/>
      <c r="AD217" s="410"/>
      <c r="AE217" s="410"/>
      <c r="AF217" s="410"/>
      <c r="AG217" s="410"/>
      <c r="AH217" s="449"/>
    </row>
    <row r="218" spans="2:34" x14ac:dyDescent="0.3">
      <c r="B218" s="307"/>
      <c r="C218" s="342"/>
      <c r="D218" s="408"/>
      <c r="E218" s="408"/>
      <c r="F218" s="409"/>
      <c r="G218" s="32" t="s">
        <v>821</v>
      </c>
      <c r="H218" s="32">
        <v>112</v>
      </c>
      <c r="I218" s="386"/>
      <c r="J218" s="32" t="s">
        <v>76</v>
      </c>
      <c r="K218" s="32">
        <v>1</v>
      </c>
      <c r="L218" s="394"/>
      <c r="M218" s="349"/>
      <c r="N218" s="394"/>
      <c r="O218" s="394"/>
      <c r="P218" s="349"/>
      <c r="Q218" s="394"/>
      <c r="R218" s="394"/>
      <c r="S218" s="410"/>
      <c r="T218" s="370"/>
      <c r="U218" s="410"/>
      <c r="V218" s="410"/>
      <c r="W218" s="410"/>
      <c r="X218" s="410"/>
      <c r="Y218" s="410"/>
      <c r="Z218" s="410"/>
      <c r="AA218" s="32" t="s">
        <v>830</v>
      </c>
      <c r="AB218" s="32" t="s">
        <v>831</v>
      </c>
      <c r="AC218" s="410"/>
      <c r="AD218" s="410"/>
      <c r="AE218" s="410"/>
      <c r="AF218" s="410"/>
      <c r="AG218" s="410"/>
      <c r="AH218" s="449"/>
    </row>
    <row r="219" spans="2:34" x14ac:dyDescent="0.3">
      <c r="B219" s="307"/>
      <c r="C219" s="342"/>
      <c r="D219" s="408"/>
      <c r="E219" s="408"/>
      <c r="F219" s="409"/>
      <c r="G219" s="32" t="s">
        <v>822</v>
      </c>
      <c r="H219" s="32">
        <v>3450</v>
      </c>
      <c r="I219" s="386"/>
      <c r="J219" s="32" t="s">
        <v>76</v>
      </c>
      <c r="K219" s="32">
        <v>1000</v>
      </c>
      <c r="L219" s="394"/>
      <c r="M219" s="349"/>
      <c r="N219" s="394"/>
      <c r="O219" s="394"/>
      <c r="P219" s="349"/>
      <c r="Q219" s="394"/>
      <c r="R219" s="394"/>
      <c r="S219" s="410"/>
      <c r="T219" s="370"/>
      <c r="U219" s="410"/>
      <c r="V219" s="410"/>
      <c r="W219" s="410"/>
      <c r="X219" s="410"/>
      <c r="Y219" s="410"/>
      <c r="Z219" s="410"/>
      <c r="AA219" s="32" t="s">
        <v>150</v>
      </c>
      <c r="AB219" s="32" t="s">
        <v>150</v>
      </c>
      <c r="AC219" s="410"/>
      <c r="AD219" s="410"/>
      <c r="AE219" s="410"/>
      <c r="AF219" s="410"/>
      <c r="AG219" s="410"/>
      <c r="AH219" s="449"/>
    </row>
    <row r="220" spans="2:34" x14ac:dyDescent="0.3">
      <c r="B220" s="307"/>
      <c r="C220" s="342"/>
      <c r="D220" s="408"/>
      <c r="E220" s="408"/>
      <c r="F220" s="409"/>
      <c r="G220" s="32" t="s">
        <v>823</v>
      </c>
      <c r="H220" s="32" t="s">
        <v>824</v>
      </c>
      <c r="I220" s="386"/>
      <c r="J220" s="32" t="s">
        <v>76</v>
      </c>
      <c r="K220" s="32" t="s">
        <v>805</v>
      </c>
      <c r="L220" s="394"/>
      <c r="M220" s="349"/>
      <c r="N220" s="394"/>
      <c r="O220" s="394"/>
      <c r="P220" s="349"/>
      <c r="Q220" s="394"/>
      <c r="R220" s="394"/>
      <c r="S220" s="410"/>
      <c r="T220" s="370"/>
      <c r="U220" s="410"/>
      <c r="V220" s="410"/>
      <c r="W220" s="410"/>
      <c r="X220" s="410"/>
      <c r="Y220" s="410"/>
      <c r="Z220" s="410"/>
      <c r="AA220" s="32" t="s">
        <v>150</v>
      </c>
      <c r="AB220" s="32" t="s">
        <v>150</v>
      </c>
      <c r="AC220" s="410"/>
      <c r="AD220" s="410"/>
      <c r="AE220" s="410"/>
      <c r="AF220" s="410"/>
      <c r="AG220" s="410"/>
      <c r="AH220" s="449"/>
    </row>
    <row r="221" spans="2:34" x14ac:dyDescent="0.3">
      <c r="B221" s="307"/>
      <c r="C221" s="342"/>
      <c r="D221" s="408"/>
      <c r="E221" s="408"/>
      <c r="F221" s="409"/>
      <c r="G221" s="33" t="s">
        <v>827</v>
      </c>
      <c r="H221" s="32"/>
      <c r="I221" s="387"/>
      <c r="J221" s="32"/>
      <c r="K221" s="32"/>
      <c r="L221" s="394"/>
      <c r="M221" s="350"/>
      <c r="N221" s="394"/>
      <c r="O221" s="394"/>
      <c r="P221" s="350"/>
      <c r="Q221" s="394"/>
      <c r="R221" s="394"/>
      <c r="S221" s="410"/>
      <c r="T221" s="371"/>
      <c r="U221" s="410"/>
      <c r="V221" s="410"/>
      <c r="W221" s="410"/>
      <c r="X221" s="410"/>
      <c r="Y221" s="410"/>
      <c r="Z221" s="410"/>
      <c r="AA221" s="34" t="s">
        <v>830</v>
      </c>
      <c r="AB221" s="34" t="s">
        <v>832</v>
      </c>
      <c r="AC221" s="410"/>
      <c r="AD221" s="410"/>
      <c r="AE221" s="410"/>
      <c r="AF221" s="410"/>
      <c r="AG221" s="410"/>
      <c r="AH221" s="449"/>
    </row>
    <row r="222" spans="2:34" ht="14.4" customHeight="1" x14ac:dyDescent="0.3">
      <c r="B222" s="307"/>
      <c r="C222" s="342"/>
      <c r="D222" s="434" t="s">
        <v>899</v>
      </c>
      <c r="E222" s="434" t="s">
        <v>923</v>
      </c>
      <c r="F222" s="431" t="s">
        <v>11</v>
      </c>
      <c r="G222" s="42" t="s">
        <v>28</v>
      </c>
      <c r="H222" s="42">
        <v>200</v>
      </c>
      <c r="I222" s="440" t="s">
        <v>1077</v>
      </c>
      <c r="J222" s="42" t="s">
        <v>76</v>
      </c>
      <c r="K222" s="42">
        <v>29</v>
      </c>
      <c r="L222" s="372" t="s">
        <v>1078</v>
      </c>
      <c r="M222" s="372" t="s">
        <v>845</v>
      </c>
      <c r="N222" s="351" t="s">
        <v>1039</v>
      </c>
      <c r="O222" s="372" t="s">
        <v>1089</v>
      </c>
      <c r="P222" s="351" t="s">
        <v>1000</v>
      </c>
      <c r="Q222" s="450" t="s">
        <v>668</v>
      </c>
      <c r="R222" s="450" t="s">
        <v>668</v>
      </c>
      <c r="S222" s="450" t="s">
        <v>993</v>
      </c>
      <c r="T222" s="451" t="s">
        <v>1092</v>
      </c>
      <c r="U222" s="351" t="s">
        <v>922</v>
      </c>
      <c r="V222" s="351"/>
      <c r="W222" s="351"/>
      <c r="X222" s="351"/>
      <c r="Y222" s="351"/>
      <c r="Z222" s="351"/>
      <c r="AA222" s="351"/>
      <c r="AB222" s="351"/>
      <c r="AC222" s="42" t="s">
        <v>921</v>
      </c>
      <c r="AD222" s="42" t="s">
        <v>920</v>
      </c>
      <c r="AE222" s="42" t="s">
        <v>740</v>
      </c>
      <c r="AF222" s="42"/>
      <c r="AG222" s="42" t="s">
        <v>446</v>
      </c>
      <c r="AH222" s="47" t="s">
        <v>676</v>
      </c>
    </row>
    <row r="223" spans="2:34" x14ac:dyDescent="0.3">
      <c r="B223" s="307"/>
      <c r="C223" s="342"/>
      <c r="D223" s="435"/>
      <c r="E223" s="435"/>
      <c r="F223" s="431"/>
      <c r="G223" s="42" t="s">
        <v>29</v>
      </c>
      <c r="H223" s="42" t="s">
        <v>833</v>
      </c>
      <c r="I223" s="441"/>
      <c r="J223" s="42" t="s">
        <v>76</v>
      </c>
      <c r="K223" s="42">
        <v>2</v>
      </c>
      <c r="L223" s="373"/>
      <c r="M223" s="373"/>
      <c r="N223" s="351"/>
      <c r="O223" s="373"/>
      <c r="P223" s="351"/>
      <c r="Q223" s="450"/>
      <c r="R223" s="450"/>
      <c r="S223" s="450"/>
      <c r="T223" s="452"/>
      <c r="U223" s="351"/>
      <c r="V223" s="351"/>
      <c r="W223" s="351"/>
      <c r="X223" s="351"/>
      <c r="Y223" s="351"/>
      <c r="Z223" s="351"/>
      <c r="AA223" s="351"/>
      <c r="AB223" s="351"/>
      <c r="AC223" s="42" t="s">
        <v>919</v>
      </c>
      <c r="AD223" s="42" t="s">
        <v>918</v>
      </c>
      <c r="AE223" s="42" t="s">
        <v>451</v>
      </c>
      <c r="AF223" s="42"/>
      <c r="AG223" s="42" t="s">
        <v>186</v>
      </c>
      <c r="AH223" s="47" t="s">
        <v>187</v>
      </c>
    </row>
    <row r="224" spans="2:34" x14ac:dyDescent="0.3">
      <c r="B224" s="307"/>
      <c r="C224" s="342"/>
      <c r="D224" s="435"/>
      <c r="E224" s="435"/>
      <c r="F224" s="431"/>
      <c r="G224" s="42" t="s">
        <v>32</v>
      </c>
      <c r="H224" s="42">
        <v>1260</v>
      </c>
      <c r="I224" s="441"/>
      <c r="J224" s="42" t="s">
        <v>76</v>
      </c>
      <c r="K224" s="42">
        <v>103</v>
      </c>
      <c r="L224" s="373"/>
      <c r="M224" s="373"/>
      <c r="N224" s="351"/>
      <c r="O224" s="373"/>
      <c r="P224" s="351"/>
      <c r="Q224" s="450"/>
      <c r="R224" s="450"/>
      <c r="S224" s="450"/>
      <c r="T224" s="452"/>
      <c r="U224" s="351"/>
      <c r="V224" s="351"/>
      <c r="W224" s="351"/>
      <c r="X224" s="351"/>
      <c r="Y224" s="351"/>
      <c r="Z224" s="351"/>
      <c r="AA224" s="351"/>
      <c r="AB224" s="351"/>
      <c r="AC224" s="42" t="s">
        <v>917</v>
      </c>
      <c r="AD224" s="42" t="s">
        <v>916</v>
      </c>
      <c r="AE224" s="42" t="s">
        <v>314</v>
      </c>
      <c r="AF224" s="42"/>
      <c r="AG224" s="42" t="s">
        <v>465</v>
      </c>
      <c r="AH224" s="47" t="s">
        <v>700</v>
      </c>
    </row>
    <row r="225" spans="2:34" x14ac:dyDescent="0.3">
      <c r="B225" s="307"/>
      <c r="C225" s="342"/>
      <c r="D225" s="435"/>
      <c r="E225" s="435"/>
      <c r="F225" s="431"/>
      <c r="G225" s="42" t="s">
        <v>33</v>
      </c>
      <c r="H225" s="42">
        <v>149</v>
      </c>
      <c r="I225" s="441"/>
      <c r="J225" s="42" t="s">
        <v>76</v>
      </c>
      <c r="K225" s="42">
        <v>120</v>
      </c>
      <c r="L225" s="373"/>
      <c r="M225" s="373"/>
      <c r="N225" s="351"/>
      <c r="O225" s="373"/>
      <c r="P225" s="351"/>
      <c r="Q225" s="450"/>
      <c r="R225" s="450"/>
      <c r="S225" s="450"/>
      <c r="T225" s="452"/>
      <c r="U225" s="351"/>
      <c r="V225" s="351"/>
      <c r="W225" s="351"/>
      <c r="X225" s="351"/>
      <c r="Y225" s="351"/>
      <c r="Z225" s="351"/>
      <c r="AA225" s="351"/>
      <c r="AB225" s="351"/>
      <c r="AC225" s="42" t="s">
        <v>915</v>
      </c>
      <c r="AD225" s="42" t="s">
        <v>900</v>
      </c>
      <c r="AE225" s="42" t="s">
        <v>914</v>
      </c>
      <c r="AF225" s="42"/>
      <c r="AG225" s="42" t="s">
        <v>470</v>
      </c>
      <c r="AH225" s="47" t="s">
        <v>704</v>
      </c>
    </row>
    <row r="226" spans="2:34" x14ac:dyDescent="0.3">
      <c r="B226" s="307"/>
      <c r="C226" s="342"/>
      <c r="D226" s="435"/>
      <c r="E226" s="435"/>
      <c r="F226" s="431"/>
      <c r="G226" s="42" t="s">
        <v>34</v>
      </c>
      <c r="H226" s="42">
        <v>221</v>
      </c>
      <c r="I226" s="441"/>
      <c r="J226" s="42" t="s">
        <v>76</v>
      </c>
      <c r="K226" s="42">
        <v>100</v>
      </c>
      <c r="L226" s="373"/>
      <c r="M226" s="373"/>
      <c r="N226" s="351"/>
      <c r="O226" s="373"/>
      <c r="P226" s="351"/>
      <c r="Q226" s="450"/>
      <c r="R226" s="450"/>
      <c r="S226" s="450"/>
      <c r="T226" s="452"/>
      <c r="U226" s="351"/>
      <c r="V226" s="351"/>
      <c r="W226" s="351"/>
      <c r="X226" s="351"/>
      <c r="Y226" s="351"/>
      <c r="Z226" s="351"/>
      <c r="AA226" s="351"/>
      <c r="AB226" s="351"/>
      <c r="AC226" s="42" t="s">
        <v>913</v>
      </c>
      <c r="AD226" s="42" t="s">
        <v>912</v>
      </c>
      <c r="AE226" s="42" t="s">
        <v>911</v>
      </c>
      <c r="AF226" s="42"/>
      <c r="AG226" s="42" t="s">
        <v>480</v>
      </c>
      <c r="AH226" s="47" t="s">
        <v>714</v>
      </c>
    </row>
    <row r="227" spans="2:34" x14ac:dyDescent="0.3">
      <c r="B227" s="307"/>
      <c r="C227" s="342"/>
      <c r="D227" s="435"/>
      <c r="E227" s="435"/>
      <c r="F227" s="431"/>
      <c r="G227" s="42" t="s">
        <v>35</v>
      </c>
      <c r="H227" s="42">
        <v>2470</v>
      </c>
      <c r="I227" s="441"/>
      <c r="J227" s="42" t="s">
        <v>76</v>
      </c>
      <c r="K227" s="42">
        <v>158</v>
      </c>
      <c r="L227" s="373"/>
      <c r="M227" s="373"/>
      <c r="N227" s="351"/>
      <c r="O227" s="373"/>
      <c r="P227" s="351"/>
      <c r="Q227" s="450"/>
      <c r="R227" s="450"/>
      <c r="S227" s="450"/>
      <c r="T227" s="452"/>
      <c r="U227" s="351"/>
      <c r="V227" s="351"/>
      <c r="W227" s="351"/>
      <c r="X227" s="351"/>
      <c r="Y227" s="351"/>
      <c r="Z227" s="351"/>
      <c r="AA227" s="351"/>
      <c r="AB227" s="351"/>
      <c r="AC227" s="42" t="s">
        <v>212</v>
      </c>
      <c r="AD227" s="42" t="s">
        <v>356</v>
      </c>
      <c r="AE227" s="42" t="s">
        <v>910</v>
      </c>
      <c r="AF227" s="42"/>
      <c r="AG227" s="42" t="s">
        <v>207</v>
      </c>
      <c r="AH227" s="47" t="s">
        <v>718</v>
      </c>
    </row>
    <row r="228" spans="2:34" x14ac:dyDescent="0.3">
      <c r="B228" s="307"/>
      <c r="C228" s="342"/>
      <c r="D228" s="435"/>
      <c r="E228" s="435"/>
      <c r="F228" s="431"/>
      <c r="G228" s="42" t="s">
        <v>37</v>
      </c>
      <c r="H228" s="42" t="s">
        <v>834</v>
      </c>
      <c r="I228" s="441"/>
      <c r="J228" s="42" t="s">
        <v>76</v>
      </c>
      <c r="K228" s="42" t="s">
        <v>90</v>
      </c>
      <c r="L228" s="373"/>
      <c r="M228" s="373"/>
      <c r="N228" s="351"/>
      <c r="O228" s="373"/>
      <c r="P228" s="351"/>
      <c r="Q228" s="450"/>
      <c r="R228" s="450"/>
      <c r="S228" s="450"/>
      <c r="T228" s="452"/>
      <c r="U228" s="351"/>
      <c r="V228" s="351"/>
      <c r="W228" s="351"/>
      <c r="X228" s="351"/>
      <c r="Y228" s="351"/>
      <c r="Z228" s="351"/>
      <c r="AA228" s="351"/>
      <c r="AB228" s="351"/>
      <c r="AC228" s="42" t="s">
        <v>909</v>
      </c>
      <c r="AD228" s="42" t="s">
        <v>473</v>
      </c>
      <c r="AE228" s="42" t="s">
        <v>473</v>
      </c>
      <c r="AF228" s="42"/>
      <c r="AG228" s="42" t="s">
        <v>214</v>
      </c>
      <c r="AH228" s="47" t="s">
        <v>720</v>
      </c>
    </row>
    <row r="229" spans="2:34" x14ac:dyDescent="0.3">
      <c r="B229" s="307"/>
      <c r="C229" s="342"/>
      <c r="D229" s="435"/>
      <c r="E229" s="435"/>
      <c r="F229" s="431"/>
      <c r="G229" s="42" t="s">
        <v>40</v>
      </c>
      <c r="H229" s="42" t="s">
        <v>749</v>
      </c>
      <c r="I229" s="441"/>
      <c r="J229" s="42" t="s">
        <v>76</v>
      </c>
      <c r="K229" s="42" t="s">
        <v>93</v>
      </c>
      <c r="L229" s="373"/>
      <c r="M229" s="373"/>
      <c r="N229" s="351"/>
      <c r="O229" s="373"/>
      <c r="P229" s="351"/>
      <c r="Q229" s="450"/>
      <c r="R229" s="450"/>
      <c r="S229" s="450"/>
      <c r="T229" s="452"/>
      <c r="U229" s="351"/>
      <c r="V229" s="351"/>
      <c r="W229" s="351"/>
      <c r="X229" s="351"/>
      <c r="Y229" s="351"/>
      <c r="Z229" s="351"/>
      <c r="AA229" s="351"/>
      <c r="AB229" s="351"/>
      <c r="AC229" s="42" t="s">
        <v>908</v>
      </c>
      <c r="AD229" s="42" t="s">
        <v>473</v>
      </c>
      <c r="AE229" s="42" t="s">
        <v>473</v>
      </c>
      <c r="AF229" s="42"/>
      <c r="AG229" s="42" t="s">
        <v>217</v>
      </c>
      <c r="AH229" s="47" t="s">
        <v>722</v>
      </c>
    </row>
    <row r="230" spans="2:34" x14ac:dyDescent="0.3">
      <c r="B230" s="307"/>
      <c r="C230" s="342"/>
      <c r="D230" s="435"/>
      <c r="E230" s="435"/>
      <c r="F230" s="431"/>
      <c r="G230" s="42" t="s">
        <v>63</v>
      </c>
      <c r="H230" s="42" t="s">
        <v>835</v>
      </c>
      <c r="I230" s="441"/>
      <c r="J230" s="42" t="s">
        <v>76</v>
      </c>
      <c r="K230" s="42" t="s">
        <v>90</v>
      </c>
      <c r="L230" s="373"/>
      <c r="M230" s="373"/>
      <c r="N230" s="351"/>
      <c r="O230" s="373"/>
      <c r="P230" s="351"/>
      <c r="Q230" s="450"/>
      <c r="R230" s="450"/>
      <c r="S230" s="450"/>
      <c r="T230" s="452"/>
      <c r="U230" s="351"/>
      <c r="V230" s="351"/>
      <c r="W230" s="351"/>
      <c r="X230" s="351"/>
      <c r="Y230" s="351"/>
      <c r="Z230" s="351"/>
      <c r="AA230" s="351"/>
      <c r="AB230" s="351"/>
      <c r="AC230" s="42" t="s">
        <v>274</v>
      </c>
      <c r="AD230" s="42" t="s">
        <v>473</v>
      </c>
      <c r="AE230" s="42" t="s">
        <v>473</v>
      </c>
      <c r="AF230" s="42"/>
      <c r="AG230" s="42" t="s">
        <v>221</v>
      </c>
      <c r="AH230" s="47" t="s">
        <v>724</v>
      </c>
    </row>
    <row r="231" spans="2:34" x14ac:dyDescent="0.3">
      <c r="B231" s="307"/>
      <c r="C231" s="342"/>
      <c r="D231" s="435"/>
      <c r="E231" s="435"/>
      <c r="F231" s="431"/>
      <c r="G231" s="42" t="s">
        <v>801</v>
      </c>
      <c r="H231" s="42" t="s">
        <v>835</v>
      </c>
      <c r="I231" s="441"/>
      <c r="J231" s="42" t="s">
        <v>76</v>
      </c>
      <c r="K231" s="42" t="s">
        <v>90</v>
      </c>
      <c r="L231" s="374"/>
      <c r="M231" s="373"/>
      <c r="N231" s="351"/>
      <c r="O231" s="373"/>
      <c r="P231" s="351"/>
      <c r="Q231" s="450"/>
      <c r="R231" s="450"/>
      <c r="S231" s="450"/>
      <c r="T231" s="452"/>
      <c r="U231" s="351"/>
      <c r="V231" s="351"/>
      <c r="W231" s="351"/>
      <c r="X231" s="351"/>
      <c r="Y231" s="351"/>
      <c r="Z231" s="351"/>
      <c r="AA231" s="351"/>
      <c r="AB231" s="351"/>
      <c r="AC231" s="42" t="s">
        <v>274</v>
      </c>
      <c r="AD231" s="42" t="s">
        <v>473</v>
      </c>
      <c r="AE231" s="42" t="s">
        <v>473</v>
      </c>
      <c r="AF231" s="42"/>
      <c r="AG231" s="42" t="s">
        <v>501</v>
      </c>
      <c r="AH231" s="47" t="s">
        <v>907</v>
      </c>
    </row>
    <row r="232" spans="2:34" ht="14.4" customHeight="1" x14ac:dyDescent="0.3">
      <c r="B232" s="307"/>
      <c r="C232" s="342"/>
      <c r="D232" s="435"/>
      <c r="E232" s="435"/>
      <c r="F232" s="431"/>
      <c r="G232" s="42" t="s">
        <v>39</v>
      </c>
      <c r="H232" s="42" t="s">
        <v>836</v>
      </c>
      <c r="I232" s="441"/>
      <c r="J232" s="42" t="s">
        <v>76</v>
      </c>
      <c r="K232" s="42" t="s">
        <v>90</v>
      </c>
      <c r="L232" s="372" t="s">
        <v>1034</v>
      </c>
      <c r="M232" s="373"/>
      <c r="N232" s="351"/>
      <c r="O232" s="373"/>
      <c r="P232" s="351" t="s">
        <v>999</v>
      </c>
      <c r="Q232" s="450"/>
      <c r="R232" s="450"/>
      <c r="S232" s="450"/>
      <c r="T232" s="452"/>
      <c r="U232" s="351"/>
      <c r="V232" s="351"/>
      <c r="W232" s="351"/>
      <c r="X232" s="351"/>
      <c r="Y232" s="351"/>
      <c r="Z232" s="351"/>
      <c r="AA232" s="351"/>
      <c r="AB232" s="351"/>
      <c r="AC232" s="42" t="s">
        <v>906</v>
      </c>
      <c r="AD232" s="42" t="s">
        <v>473</v>
      </c>
      <c r="AE232" s="42" t="s">
        <v>473</v>
      </c>
      <c r="AF232" s="42"/>
      <c r="AG232" s="42" t="s">
        <v>196</v>
      </c>
      <c r="AH232" s="47" t="s">
        <v>726</v>
      </c>
    </row>
    <row r="233" spans="2:34" x14ac:dyDescent="0.3">
      <c r="B233" s="307"/>
      <c r="C233" s="342"/>
      <c r="D233" s="435"/>
      <c r="E233" s="435"/>
      <c r="F233" s="431"/>
      <c r="G233" s="42" t="s">
        <v>43</v>
      </c>
      <c r="H233" s="42" t="s">
        <v>837</v>
      </c>
      <c r="I233" s="441"/>
      <c r="J233" s="42" t="s">
        <v>76</v>
      </c>
      <c r="K233" s="42" t="s">
        <v>93</v>
      </c>
      <c r="L233" s="373"/>
      <c r="M233" s="373"/>
      <c r="N233" s="351"/>
      <c r="O233" s="373"/>
      <c r="P233" s="351"/>
      <c r="Q233" s="450"/>
      <c r="R233" s="450"/>
      <c r="S233" s="450"/>
      <c r="T233" s="452"/>
      <c r="U233" s="351"/>
      <c r="V233" s="351"/>
      <c r="W233" s="351"/>
      <c r="X233" s="351"/>
      <c r="Y233" s="351"/>
      <c r="Z233" s="351"/>
      <c r="AA233" s="351"/>
      <c r="AB233" s="351"/>
      <c r="AC233" s="42" t="s">
        <v>333</v>
      </c>
      <c r="AD233" s="42" t="s">
        <v>473</v>
      </c>
      <c r="AE233" s="42" t="s">
        <v>473</v>
      </c>
      <c r="AF233" s="42"/>
      <c r="AG233" s="42" t="s">
        <v>224</v>
      </c>
      <c r="AH233" s="47" t="s">
        <v>725</v>
      </c>
    </row>
    <row r="234" spans="2:34" x14ac:dyDescent="0.3">
      <c r="B234" s="307"/>
      <c r="C234" s="342"/>
      <c r="D234" s="435"/>
      <c r="E234" s="435"/>
      <c r="F234" s="431"/>
      <c r="G234" s="42" t="s">
        <v>42</v>
      </c>
      <c r="H234" s="42" t="s">
        <v>838</v>
      </c>
      <c r="I234" s="441"/>
      <c r="J234" s="42" t="s">
        <v>76</v>
      </c>
      <c r="K234" s="42" t="s">
        <v>93</v>
      </c>
      <c r="L234" s="373"/>
      <c r="M234" s="373"/>
      <c r="N234" s="351"/>
      <c r="O234" s="373"/>
      <c r="P234" s="351"/>
      <c r="Q234" s="450"/>
      <c r="R234" s="450"/>
      <c r="S234" s="450"/>
      <c r="T234" s="452"/>
      <c r="U234" s="351"/>
      <c r="V234" s="351"/>
      <c r="W234" s="351"/>
      <c r="X234" s="351"/>
      <c r="Y234" s="351"/>
      <c r="Z234" s="351"/>
      <c r="AA234" s="351"/>
      <c r="AB234" s="351"/>
      <c r="AC234" s="42" t="s">
        <v>905</v>
      </c>
      <c r="AD234" s="42" t="s">
        <v>473</v>
      </c>
      <c r="AE234" s="42" t="s">
        <v>473</v>
      </c>
      <c r="AF234" s="42"/>
      <c r="AG234" s="42" t="s">
        <v>235</v>
      </c>
      <c r="AH234" s="47" t="s">
        <v>732</v>
      </c>
    </row>
    <row r="235" spans="2:34" x14ac:dyDescent="0.3">
      <c r="B235" s="307"/>
      <c r="C235" s="342"/>
      <c r="D235" s="435"/>
      <c r="E235" s="435"/>
      <c r="F235" s="431"/>
      <c r="G235" s="42" t="s">
        <v>839</v>
      </c>
      <c r="H235" s="42" t="s">
        <v>840</v>
      </c>
      <c r="I235" s="441"/>
      <c r="J235" s="42" t="s">
        <v>76</v>
      </c>
      <c r="K235" s="42" t="s">
        <v>93</v>
      </c>
      <c r="L235" s="373"/>
      <c r="M235" s="373"/>
      <c r="N235" s="351"/>
      <c r="O235" s="373"/>
      <c r="P235" s="351"/>
      <c r="Q235" s="450"/>
      <c r="R235" s="450"/>
      <c r="S235" s="450"/>
      <c r="T235" s="452"/>
      <c r="U235" s="351"/>
      <c r="V235" s="351"/>
      <c r="W235" s="351"/>
      <c r="X235" s="351"/>
      <c r="Y235" s="351"/>
      <c r="Z235" s="351"/>
      <c r="AA235" s="351"/>
      <c r="AB235" s="351"/>
      <c r="AC235" s="42" t="s">
        <v>904</v>
      </c>
      <c r="AD235" s="42" t="s">
        <v>473</v>
      </c>
      <c r="AE235" s="42" t="s">
        <v>473</v>
      </c>
      <c r="AF235" s="42"/>
      <c r="AG235" s="42" t="s">
        <v>285</v>
      </c>
      <c r="AH235" s="47" t="s">
        <v>739</v>
      </c>
    </row>
    <row r="236" spans="2:34" x14ac:dyDescent="0.3">
      <c r="B236" s="307"/>
      <c r="C236" s="342"/>
      <c r="D236" s="435"/>
      <c r="E236" s="435"/>
      <c r="F236" s="431"/>
      <c r="G236" s="42" t="s">
        <v>841</v>
      </c>
      <c r="H236" s="42" t="s">
        <v>842</v>
      </c>
      <c r="I236" s="441"/>
      <c r="J236" s="42" t="s">
        <v>76</v>
      </c>
      <c r="K236" s="42" t="s">
        <v>426</v>
      </c>
      <c r="L236" s="373"/>
      <c r="M236" s="373"/>
      <c r="N236" s="351"/>
      <c r="O236" s="373"/>
      <c r="P236" s="351"/>
      <c r="Q236" s="450"/>
      <c r="R236" s="450"/>
      <c r="S236" s="450"/>
      <c r="T236" s="452"/>
      <c r="U236" s="351"/>
      <c r="V236" s="351"/>
      <c r="W236" s="351"/>
      <c r="X236" s="351"/>
      <c r="Y236" s="351"/>
      <c r="Z236" s="351"/>
      <c r="AA236" s="351"/>
      <c r="AB236" s="351"/>
      <c r="AC236" s="42"/>
      <c r="AD236" s="42"/>
      <c r="AE236" s="42"/>
      <c r="AF236" s="42"/>
      <c r="AG236" s="42"/>
      <c r="AH236" s="47"/>
    </row>
    <row r="237" spans="2:34" x14ac:dyDescent="0.3">
      <c r="B237" s="307"/>
      <c r="C237" s="342"/>
      <c r="D237" s="435"/>
      <c r="E237" s="435"/>
      <c r="F237" s="431"/>
      <c r="G237" s="42" t="s">
        <v>368</v>
      </c>
      <c r="H237" s="42" t="s">
        <v>843</v>
      </c>
      <c r="I237" s="441"/>
      <c r="J237" s="42" t="s">
        <v>410</v>
      </c>
      <c r="K237" s="42"/>
      <c r="L237" s="373"/>
      <c r="M237" s="373"/>
      <c r="N237" s="351"/>
      <c r="O237" s="373"/>
      <c r="P237" s="351"/>
      <c r="Q237" s="450"/>
      <c r="R237" s="450"/>
      <c r="S237" s="450"/>
      <c r="T237" s="452"/>
      <c r="U237" s="351"/>
      <c r="V237" s="351"/>
      <c r="W237" s="351"/>
      <c r="X237" s="351"/>
      <c r="Y237" s="351"/>
      <c r="Z237" s="351"/>
      <c r="AA237" s="351"/>
      <c r="AB237" s="351"/>
      <c r="AC237" s="42" t="s">
        <v>903</v>
      </c>
      <c r="AD237" s="42" t="s">
        <v>473</v>
      </c>
      <c r="AE237" s="42" t="s">
        <v>473</v>
      </c>
      <c r="AF237" s="42"/>
      <c r="AG237" s="42" t="s">
        <v>289</v>
      </c>
      <c r="AH237" s="47" t="s">
        <v>289</v>
      </c>
    </row>
    <row r="238" spans="2:34" x14ac:dyDescent="0.3">
      <c r="B238" s="307"/>
      <c r="C238" s="342"/>
      <c r="D238" s="435"/>
      <c r="E238" s="435"/>
      <c r="F238" s="431"/>
      <c r="G238" s="42" t="s">
        <v>369</v>
      </c>
      <c r="H238" s="42" t="s">
        <v>842</v>
      </c>
      <c r="I238" s="441"/>
      <c r="J238" s="42" t="s">
        <v>411</v>
      </c>
      <c r="K238" s="42"/>
      <c r="L238" s="373"/>
      <c r="M238" s="373"/>
      <c r="N238" s="351"/>
      <c r="O238" s="373"/>
      <c r="P238" s="351"/>
      <c r="Q238" s="450"/>
      <c r="R238" s="450"/>
      <c r="S238" s="450"/>
      <c r="T238" s="452"/>
      <c r="U238" s="351"/>
      <c r="V238" s="351"/>
      <c r="W238" s="351"/>
      <c r="X238" s="351"/>
      <c r="Y238" s="351"/>
      <c r="Z238" s="351"/>
      <c r="AA238" s="351"/>
      <c r="AB238" s="351"/>
      <c r="AC238" s="42" t="s">
        <v>902</v>
      </c>
      <c r="AD238" s="42" t="s">
        <v>473</v>
      </c>
      <c r="AE238" s="42" t="s">
        <v>473</v>
      </c>
      <c r="AF238" s="42"/>
      <c r="AG238" s="42" t="s">
        <v>289</v>
      </c>
      <c r="AH238" s="47" t="s">
        <v>289</v>
      </c>
    </row>
    <row r="239" spans="2:34" x14ac:dyDescent="0.3">
      <c r="B239" s="307"/>
      <c r="C239" s="342"/>
      <c r="D239" s="435"/>
      <c r="E239" s="435"/>
      <c r="F239" s="431"/>
      <c r="G239" s="42" t="s">
        <v>844</v>
      </c>
      <c r="H239" s="42">
        <v>163</v>
      </c>
      <c r="I239" s="441"/>
      <c r="J239" s="42" t="s">
        <v>76</v>
      </c>
      <c r="K239" s="42">
        <v>50</v>
      </c>
      <c r="L239" s="373"/>
      <c r="M239" s="373"/>
      <c r="N239" s="351"/>
      <c r="O239" s="373"/>
      <c r="P239" s="351"/>
      <c r="Q239" s="450"/>
      <c r="R239" s="450"/>
      <c r="S239" s="450"/>
      <c r="T239" s="452"/>
      <c r="U239" s="351"/>
      <c r="V239" s="351"/>
      <c r="W239" s="351"/>
      <c r="X239" s="351"/>
      <c r="Y239" s="351"/>
      <c r="Z239" s="351"/>
      <c r="AA239" s="351"/>
      <c r="AB239" s="351"/>
      <c r="AC239" s="42"/>
      <c r="AD239" s="42"/>
      <c r="AE239" s="42"/>
      <c r="AF239" s="42"/>
      <c r="AG239" s="42"/>
      <c r="AH239" s="47"/>
    </row>
    <row r="240" spans="2:34" x14ac:dyDescent="0.3">
      <c r="B240" s="307"/>
      <c r="C240" s="342"/>
      <c r="D240" s="435"/>
      <c r="E240" s="435"/>
      <c r="F240" s="431"/>
      <c r="G240" s="42" t="s">
        <v>52</v>
      </c>
      <c r="H240" s="42">
        <v>163</v>
      </c>
      <c r="I240" s="441"/>
      <c r="J240" s="42" t="s">
        <v>575</v>
      </c>
      <c r="K240" s="42"/>
      <c r="L240" s="373"/>
      <c r="M240" s="373"/>
      <c r="N240" s="351"/>
      <c r="O240" s="373"/>
      <c r="P240" s="351"/>
      <c r="Q240" s="450"/>
      <c r="R240" s="450"/>
      <c r="S240" s="450"/>
      <c r="T240" s="452"/>
      <c r="U240" s="351"/>
      <c r="V240" s="351"/>
      <c r="W240" s="351"/>
      <c r="X240" s="351"/>
      <c r="Y240" s="351"/>
      <c r="Z240" s="351"/>
      <c r="AA240" s="351"/>
      <c r="AB240" s="351"/>
      <c r="AC240" s="42" t="s">
        <v>901</v>
      </c>
      <c r="AD240" s="42" t="s">
        <v>473</v>
      </c>
      <c r="AE240" s="42" t="s">
        <v>473</v>
      </c>
      <c r="AF240" s="42"/>
      <c r="AG240" s="42" t="s">
        <v>559</v>
      </c>
      <c r="AH240" s="47" t="s">
        <v>900</v>
      </c>
    </row>
    <row r="241" spans="2:34" x14ac:dyDescent="0.3">
      <c r="B241" s="307"/>
      <c r="C241" s="342"/>
      <c r="D241" s="436"/>
      <c r="E241" s="436"/>
      <c r="F241" s="431"/>
      <c r="G241" s="37" t="s">
        <v>827</v>
      </c>
      <c r="H241" s="42"/>
      <c r="I241" s="442"/>
      <c r="J241" s="42"/>
      <c r="K241" s="42"/>
      <c r="L241" s="374"/>
      <c r="M241" s="374"/>
      <c r="N241" s="351"/>
      <c r="O241" s="374"/>
      <c r="P241" s="351"/>
      <c r="Q241" s="450"/>
      <c r="R241" s="450"/>
      <c r="S241" s="450"/>
      <c r="T241" s="453"/>
      <c r="U241" s="351"/>
      <c r="V241" s="351"/>
      <c r="W241" s="351"/>
      <c r="X241" s="351"/>
      <c r="Y241" s="351"/>
      <c r="Z241" s="351"/>
      <c r="AA241" s="351"/>
      <c r="AB241" s="351"/>
      <c r="AC241" s="41" t="s">
        <v>901</v>
      </c>
      <c r="AD241" s="41" t="s">
        <v>473</v>
      </c>
      <c r="AE241" s="41" t="s">
        <v>473</v>
      </c>
      <c r="AF241" s="41"/>
      <c r="AG241" s="41" t="s">
        <v>559</v>
      </c>
      <c r="AH241" s="48" t="s">
        <v>900</v>
      </c>
    </row>
    <row r="242" spans="2:34" ht="28.8" x14ac:dyDescent="0.3">
      <c r="B242" s="307"/>
      <c r="C242" s="342"/>
      <c r="D242" s="437" t="s">
        <v>899</v>
      </c>
      <c r="E242" s="317" t="s">
        <v>898</v>
      </c>
      <c r="F242" s="320" t="s">
        <v>11</v>
      </c>
      <c r="G242" s="38" t="s">
        <v>897</v>
      </c>
      <c r="H242" s="38">
        <v>9165</v>
      </c>
      <c r="I242" s="317" t="s">
        <v>1077</v>
      </c>
      <c r="J242" s="38" t="s">
        <v>76</v>
      </c>
      <c r="K242" s="38">
        <v>50</v>
      </c>
      <c r="L242" s="352" t="s">
        <v>153</v>
      </c>
      <c r="M242" s="352" t="s">
        <v>1093</v>
      </c>
      <c r="N242" s="352" t="s">
        <v>826</v>
      </c>
      <c r="O242" s="317" t="s">
        <v>896</v>
      </c>
      <c r="P242" s="352" t="s">
        <v>1002</v>
      </c>
      <c r="Q242" s="352" t="s">
        <v>669</v>
      </c>
      <c r="R242" s="352" t="s">
        <v>670</v>
      </c>
      <c r="S242" s="317" t="s">
        <v>993</v>
      </c>
      <c r="T242" s="331" t="s">
        <v>1092</v>
      </c>
      <c r="U242" s="320" t="s">
        <v>668</v>
      </c>
      <c r="V242" s="321"/>
      <c r="W242" s="321"/>
      <c r="X242" s="321"/>
      <c r="Y242" s="321"/>
      <c r="Z242" s="322"/>
      <c r="AA242" s="38" t="s">
        <v>889</v>
      </c>
      <c r="AB242" s="40" t="s">
        <v>895</v>
      </c>
      <c r="AC242" s="320" t="s">
        <v>360</v>
      </c>
      <c r="AD242" s="321"/>
      <c r="AE242" s="321"/>
      <c r="AF242" s="321"/>
      <c r="AG242" s="321"/>
      <c r="AH242" s="456"/>
    </row>
    <row r="243" spans="2:34" x14ac:dyDescent="0.3">
      <c r="B243" s="307"/>
      <c r="C243" s="342"/>
      <c r="D243" s="438"/>
      <c r="E243" s="318"/>
      <c r="F243" s="323"/>
      <c r="G243" s="38" t="s">
        <v>894</v>
      </c>
      <c r="H243" s="38">
        <v>3002</v>
      </c>
      <c r="I243" s="318"/>
      <c r="J243" s="38" t="s">
        <v>849</v>
      </c>
      <c r="K243" s="38"/>
      <c r="L243" s="353"/>
      <c r="M243" s="353"/>
      <c r="N243" s="353"/>
      <c r="O243" s="318"/>
      <c r="P243" s="353"/>
      <c r="Q243" s="353"/>
      <c r="R243" s="353"/>
      <c r="S243" s="318"/>
      <c r="T243" s="323"/>
      <c r="U243" s="323"/>
      <c r="V243" s="324"/>
      <c r="W243" s="324"/>
      <c r="X243" s="324"/>
      <c r="Y243" s="324"/>
      <c r="Z243" s="325"/>
      <c r="AA243" s="38" t="s">
        <v>889</v>
      </c>
      <c r="AB243" s="38" t="s">
        <v>893</v>
      </c>
      <c r="AC243" s="323"/>
      <c r="AD243" s="324"/>
      <c r="AE243" s="324"/>
      <c r="AF243" s="324"/>
      <c r="AG243" s="324"/>
      <c r="AH243" s="457"/>
    </row>
    <row r="244" spans="2:34" x14ac:dyDescent="0.3">
      <c r="B244" s="307"/>
      <c r="C244" s="342"/>
      <c r="D244" s="438"/>
      <c r="E244" s="318"/>
      <c r="F244" s="323"/>
      <c r="G244" s="38" t="s">
        <v>892</v>
      </c>
      <c r="H244" s="38">
        <v>5372</v>
      </c>
      <c r="I244" s="318"/>
      <c r="J244" s="38" t="s">
        <v>848</v>
      </c>
      <c r="K244" s="38"/>
      <c r="L244" s="353"/>
      <c r="M244" s="353"/>
      <c r="N244" s="353"/>
      <c r="O244" s="318"/>
      <c r="P244" s="353"/>
      <c r="Q244" s="353"/>
      <c r="R244" s="353"/>
      <c r="S244" s="318"/>
      <c r="T244" s="323"/>
      <c r="U244" s="323"/>
      <c r="V244" s="324"/>
      <c r="W244" s="324"/>
      <c r="X244" s="324"/>
      <c r="Y244" s="324"/>
      <c r="Z244" s="325"/>
      <c r="AA244" s="38" t="s">
        <v>889</v>
      </c>
      <c r="AB244" s="38" t="s">
        <v>891</v>
      </c>
      <c r="AC244" s="323"/>
      <c r="AD244" s="324"/>
      <c r="AE244" s="324"/>
      <c r="AF244" s="324"/>
      <c r="AG244" s="324"/>
      <c r="AH244" s="457"/>
    </row>
    <row r="245" spans="2:34" x14ac:dyDescent="0.3">
      <c r="B245" s="307"/>
      <c r="C245" s="342"/>
      <c r="D245" s="439"/>
      <c r="E245" s="319"/>
      <c r="F245" s="326"/>
      <c r="G245" s="38" t="s">
        <v>890</v>
      </c>
      <c r="H245" s="38">
        <v>790</v>
      </c>
      <c r="I245" s="319"/>
      <c r="J245" s="38" t="s">
        <v>847</v>
      </c>
      <c r="K245" s="38"/>
      <c r="L245" s="354"/>
      <c r="M245" s="354"/>
      <c r="N245" s="354"/>
      <c r="O245" s="319"/>
      <c r="P245" s="354"/>
      <c r="Q245" s="354"/>
      <c r="R245" s="354"/>
      <c r="S245" s="319"/>
      <c r="T245" s="326"/>
      <c r="U245" s="326"/>
      <c r="V245" s="327"/>
      <c r="W245" s="327"/>
      <c r="X245" s="327"/>
      <c r="Y245" s="327"/>
      <c r="Z245" s="328"/>
      <c r="AA245" s="38" t="s">
        <v>889</v>
      </c>
      <c r="AB245" s="39" t="s">
        <v>888</v>
      </c>
      <c r="AC245" s="326"/>
      <c r="AD245" s="327"/>
      <c r="AE245" s="327"/>
      <c r="AF245" s="327"/>
      <c r="AG245" s="327"/>
      <c r="AH245" s="458"/>
    </row>
    <row r="246" spans="2:34" ht="28.95" customHeight="1" x14ac:dyDescent="0.3">
      <c r="B246" s="307"/>
      <c r="C246" s="342"/>
      <c r="D246" s="429" t="s">
        <v>899</v>
      </c>
      <c r="E246" s="310" t="s">
        <v>924</v>
      </c>
      <c r="F246" s="432" t="s">
        <v>11</v>
      </c>
      <c r="G246" s="49" t="s">
        <v>28</v>
      </c>
      <c r="H246" s="49">
        <v>291</v>
      </c>
      <c r="I246" s="443" t="s">
        <v>1077</v>
      </c>
      <c r="J246" s="49" t="s">
        <v>76</v>
      </c>
      <c r="K246" s="49">
        <v>29</v>
      </c>
      <c r="L246" s="335" t="s">
        <v>1034</v>
      </c>
      <c r="M246" s="446" t="s">
        <v>845</v>
      </c>
      <c r="N246" s="335" t="s">
        <v>1038</v>
      </c>
      <c r="O246" s="335" t="s">
        <v>887</v>
      </c>
      <c r="P246" s="355" t="s">
        <v>999</v>
      </c>
      <c r="Q246" s="335" t="s">
        <v>669</v>
      </c>
      <c r="R246" s="335" t="s">
        <v>670</v>
      </c>
      <c r="S246" s="310" t="s">
        <v>993</v>
      </c>
      <c r="T246" s="332" t="s">
        <v>1092</v>
      </c>
      <c r="U246" s="310" t="s">
        <v>360</v>
      </c>
      <c r="V246" s="310"/>
      <c r="W246" s="310"/>
      <c r="X246" s="310"/>
      <c r="Y246" s="310"/>
      <c r="Z246" s="310"/>
      <c r="AA246" s="310"/>
      <c r="AB246" s="310"/>
      <c r="AC246" s="49" t="s">
        <v>925</v>
      </c>
      <c r="AD246" s="49" t="s">
        <v>926</v>
      </c>
      <c r="AE246" s="49" t="s">
        <v>927</v>
      </c>
      <c r="AF246" s="49"/>
      <c r="AG246" s="49" t="s">
        <v>446</v>
      </c>
      <c r="AH246" s="50" t="s">
        <v>676</v>
      </c>
    </row>
    <row r="247" spans="2:34" x14ac:dyDescent="0.3">
      <c r="B247" s="307"/>
      <c r="C247" s="342"/>
      <c r="D247" s="429"/>
      <c r="E247" s="310"/>
      <c r="F247" s="432"/>
      <c r="G247" s="49" t="s">
        <v>29</v>
      </c>
      <c r="H247" s="49" t="s">
        <v>886</v>
      </c>
      <c r="I247" s="444"/>
      <c r="J247" s="49" t="s">
        <v>76</v>
      </c>
      <c r="K247" s="49">
        <v>2</v>
      </c>
      <c r="L247" s="310"/>
      <c r="M247" s="447"/>
      <c r="N247" s="310"/>
      <c r="O247" s="310"/>
      <c r="P247" s="356"/>
      <c r="Q247" s="310"/>
      <c r="R247" s="310"/>
      <c r="S247" s="310"/>
      <c r="T247" s="333"/>
      <c r="U247" s="310"/>
      <c r="V247" s="310"/>
      <c r="W247" s="310"/>
      <c r="X247" s="310"/>
      <c r="Y247" s="310"/>
      <c r="Z247" s="310"/>
      <c r="AA247" s="310"/>
      <c r="AB247" s="310"/>
      <c r="AC247" s="49" t="s">
        <v>928</v>
      </c>
      <c r="AD247" s="49" t="s">
        <v>929</v>
      </c>
      <c r="AE247" s="49" t="s">
        <v>930</v>
      </c>
      <c r="AF247" s="49"/>
      <c r="AG247" s="49" t="s">
        <v>186</v>
      </c>
      <c r="AH247" s="50" t="s">
        <v>187</v>
      </c>
    </row>
    <row r="248" spans="2:34" x14ac:dyDescent="0.3">
      <c r="B248" s="307"/>
      <c r="C248" s="342"/>
      <c r="D248" s="429"/>
      <c r="E248" s="310"/>
      <c r="F248" s="432"/>
      <c r="G248" s="49" t="s">
        <v>31</v>
      </c>
      <c r="H248" s="49" t="s">
        <v>885</v>
      </c>
      <c r="I248" s="444"/>
      <c r="J248" s="49" t="s">
        <v>884</v>
      </c>
      <c r="K248" s="49">
        <v>1</v>
      </c>
      <c r="L248" s="310"/>
      <c r="M248" s="447"/>
      <c r="N248" s="310"/>
      <c r="O248" s="310"/>
      <c r="P248" s="356"/>
      <c r="Q248" s="310"/>
      <c r="R248" s="310"/>
      <c r="S248" s="310"/>
      <c r="T248" s="333"/>
      <c r="U248" s="310"/>
      <c r="V248" s="310"/>
      <c r="W248" s="310"/>
      <c r="X248" s="310"/>
      <c r="Y248" s="310"/>
      <c r="Z248" s="310"/>
      <c r="AA248" s="310"/>
      <c r="AB248" s="310"/>
      <c r="AC248" s="49" t="s">
        <v>519</v>
      </c>
      <c r="AD248" s="49" t="s">
        <v>612</v>
      </c>
      <c r="AE248" s="49" t="s">
        <v>931</v>
      </c>
      <c r="AF248" s="49"/>
      <c r="AG248" s="49" t="s">
        <v>691</v>
      </c>
      <c r="AH248" s="50" t="s">
        <v>233</v>
      </c>
    </row>
    <row r="249" spans="2:34" x14ac:dyDescent="0.3">
      <c r="B249" s="307"/>
      <c r="C249" s="342"/>
      <c r="D249" s="429"/>
      <c r="E249" s="310"/>
      <c r="F249" s="432"/>
      <c r="G249" s="49" t="s">
        <v>32</v>
      </c>
      <c r="H249" s="49">
        <v>1580</v>
      </c>
      <c r="I249" s="444"/>
      <c r="J249" s="49" t="s">
        <v>76</v>
      </c>
      <c r="K249" s="49">
        <v>103</v>
      </c>
      <c r="L249" s="310"/>
      <c r="M249" s="447"/>
      <c r="N249" s="310"/>
      <c r="O249" s="310"/>
      <c r="P249" s="356"/>
      <c r="Q249" s="310"/>
      <c r="R249" s="310"/>
      <c r="S249" s="310"/>
      <c r="T249" s="333"/>
      <c r="U249" s="310"/>
      <c r="V249" s="310"/>
      <c r="W249" s="310"/>
      <c r="X249" s="310"/>
      <c r="Y249" s="310"/>
      <c r="Z249" s="310"/>
      <c r="AA249" s="310"/>
      <c r="AB249" s="310"/>
      <c r="AC249" s="49" t="s">
        <v>932</v>
      </c>
      <c r="AD249" s="49" t="s">
        <v>933</v>
      </c>
      <c r="AE249" s="49" t="s">
        <v>934</v>
      </c>
      <c r="AF249" s="49"/>
      <c r="AG249" s="49" t="s">
        <v>465</v>
      </c>
      <c r="AH249" s="50" t="s">
        <v>700</v>
      </c>
    </row>
    <row r="250" spans="2:34" x14ac:dyDescent="0.3">
      <c r="B250" s="307"/>
      <c r="C250" s="342"/>
      <c r="D250" s="429"/>
      <c r="E250" s="310"/>
      <c r="F250" s="432"/>
      <c r="G250" s="49" t="s">
        <v>33</v>
      </c>
      <c r="H250" s="49">
        <v>239</v>
      </c>
      <c r="I250" s="444"/>
      <c r="J250" s="49" t="s">
        <v>76</v>
      </c>
      <c r="K250" s="49">
        <v>120</v>
      </c>
      <c r="L250" s="310"/>
      <c r="M250" s="447"/>
      <c r="N250" s="310"/>
      <c r="O250" s="310"/>
      <c r="P250" s="356"/>
      <c r="Q250" s="310"/>
      <c r="R250" s="310"/>
      <c r="S250" s="310"/>
      <c r="T250" s="333"/>
      <c r="U250" s="310"/>
      <c r="V250" s="310"/>
      <c r="W250" s="310"/>
      <c r="X250" s="310"/>
      <c r="Y250" s="310"/>
      <c r="Z250" s="310"/>
      <c r="AA250" s="310"/>
      <c r="AB250" s="310"/>
      <c r="AC250" s="49" t="s">
        <v>935</v>
      </c>
      <c r="AD250" s="49" t="s">
        <v>936</v>
      </c>
      <c r="AE250" s="49" t="s">
        <v>614</v>
      </c>
      <c r="AF250" s="49"/>
      <c r="AG250" s="49" t="s">
        <v>470</v>
      </c>
      <c r="AH250" s="50" t="s">
        <v>704</v>
      </c>
    </row>
    <row r="251" spans="2:34" x14ac:dyDescent="0.3">
      <c r="B251" s="307"/>
      <c r="C251" s="342"/>
      <c r="D251" s="429"/>
      <c r="E251" s="310"/>
      <c r="F251" s="432"/>
      <c r="G251" s="49" t="s">
        <v>883</v>
      </c>
      <c r="H251" s="49">
        <v>40</v>
      </c>
      <c r="I251" s="444"/>
      <c r="J251" s="49" t="s">
        <v>76</v>
      </c>
      <c r="K251" s="49">
        <v>14</v>
      </c>
      <c r="L251" s="310"/>
      <c r="M251" s="447"/>
      <c r="N251" s="310"/>
      <c r="O251" s="310"/>
      <c r="P251" s="356"/>
      <c r="Q251" s="310"/>
      <c r="R251" s="310"/>
      <c r="S251" s="310"/>
      <c r="T251" s="333"/>
      <c r="U251" s="310"/>
      <c r="V251" s="310"/>
      <c r="W251" s="310"/>
      <c r="X251" s="310"/>
      <c r="Y251" s="310"/>
      <c r="Z251" s="310"/>
      <c r="AA251" s="310"/>
      <c r="AB251" s="310"/>
      <c r="AC251" s="49" t="s">
        <v>937</v>
      </c>
      <c r="AD251" s="49" t="s">
        <v>237</v>
      </c>
      <c r="AE251" s="49" t="s">
        <v>237</v>
      </c>
      <c r="AF251" s="49"/>
      <c r="AG251" s="49" t="s">
        <v>938</v>
      </c>
      <c r="AH251" s="50" t="s">
        <v>939</v>
      </c>
    </row>
    <row r="252" spans="2:34" x14ac:dyDescent="0.3">
      <c r="B252" s="307"/>
      <c r="C252" s="342"/>
      <c r="D252" s="429"/>
      <c r="E252" s="310"/>
      <c r="F252" s="432"/>
      <c r="G252" s="49" t="s">
        <v>882</v>
      </c>
      <c r="H252" s="49" t="s">
        <v>750</v>
      </c>
      <c r="I252" s="444"/>
      <c r="J252" s="49" t="s">
        <v>76</v>
      </c>
      <c r="K252" s="49">
        <v>1</v>
      </c>
      <c r="L252" s="310"/>
      <c r="M252" s="447"/>
      <c r="N252" s="310"/>
      <c r="O252" s="310"/>
      <c r="P252" s="356"/>
      <c r="Q252" s="310"/>
      <c r="R252" s="310"/>
      <c r="S252" s="310"/>
      <c r="T252" s="333"/>
      <c r="U252" s="310"/>
      <c r="V252" s="310"/>
      <c r="W252" s="310"/>
      <c r="X252" s="310"/>
      <c r="Y252" s="310"/>
      <c r="Z252" s="310"/>
      <c r="AA252" s="310"/>
      <c r="AB252" s="310"/>
      <c r="AC252" s="49" t="s">
        <v>940</v>
      </c>
      <c r="AD252" s="49" t="s">
        <v>237</v>
      </c>
      <c r="AE252" s="49" t="s">
        <v>237</v>
      </c>
      <c r="AF252" s="49"/>
      <c r="AG252" s="49" t="s">
        <v>198</v>
      </c>
      <c r="AH252" s="50" t="s">
        <v>198</v>
      </c>
    </row>
    <row r="253" spans="2:34" x14ac:dyDescent="0.3">
      <c r="B253" s="307"/>
      <c r="C253" s="342"/>
      <c r="D253" s="429"/>
      <c r="E253" s="310"/>
      <c r="F253" s="432"/>
      <c r="G253" s="49" t="s">
        <v>34</v>
      </c>
      <c r="H253" s="49">
        <v>552</v>
      </c>
      <c r="I253" s="444"/>
      <c r="J253" s="49" t="s">
        <v>76</v>
      </c>
      <c r="K253" s="49">
        <v>100</v>
      </c>
      <c r="L253" s="310"/>
      <c r="M253" s="447"/>
      <c r="N253" s="310"/>
      <c r="O253" s="310"/>
      <c r="P253" s="356"/>
      <c r="Q253" s="310"/>
      <c r="R253" s="310"/>
      <c r="S253" s="310"/>
      <c r="T253" s="333"/>
      <c r="U253" s="310"/>
      <c r="V253" s="310"/>
      <c r="W253" s="310"/>
      <c r="X253" s="310"/>
      <c r="Y253" s="310"/>
      <c r="Z253" s="310"/>
      <c r="AA253" s="310"/>
      <c r="AB253" s="310"/>
      <c r="AC253" s="49" t="s">
        <v>941</v>
      </c>
      <c r="AD253" s="49" t="s">
        <v>942</v>
      </c>
      <c r="AE253" s="49" t="s">
        <v>943</v>
      </c>
      <c r="AF253" s="49"/>
      <c r="AG253" s="49" t="s">
        <v>480</v>
      </c>
      <c r="AH253" s="50" t="s">
        <v>714</v>
      </c>
    </row>
    <row r="254" spans="2:34" x14ac:dyDescent="0.3">
      <c r="B254" s="307"/>
      <c r="C254" s="342"/>
      <c r="D254" s="429"/>
      <c r="E254" s="310"/>
      <c r="F254" s="432"/>
      <c r="G254" s="49" t="s">
        <v>35</v>
      </c>
      <c r="H254" s="49">
        <v>3710</v>
      </c>
      <c r="I254" s="444"/>
      <c r="J254" s="49" t="s">
        <v>76</v>
      </c>
      <c r="K254" s="49">
        <v>158</v>
      </c>
      <c r="L254" s="310"/>
      <c r="M254" s="447"/>
      <c r="N254" s="310"/>
      <c r="O254" s="310"/>
      <c r="P254" s="356"/>
      <c r="Q254" s="310"/>
      <c r="R254" s="310"/>
      <c r="S254" s="310"/>
      <c r="T254" s="333"/>
      <c r="U254" s="310"/>
      <c r="V254" s="310"/>
      <c r="W254" s="310"/>
      <c r="X254" s="310"/>
      <c r="Y254" s="310"/>
      <c r="Z254" s="310"/>
      <c r="AA254" s="310"/>
      <c r="AB254" s="310"/>
      <c r="AC254" s="49" t="s">
        <v>944</v>
      </c>
      <c r="AD254" s="49" t="s">
        <v>945</v>
      </c>
      <c r="AE254" s="49" t="s">
        <v>946</v>
      </c>
      <c r="AF254" s="49"/>
      <c r="AG254" s="49" t="s">
        <v>207</v>
      </c>
      <c r="AH254" s="50" t="s">
        <v>718</v>
      </c>
    </row>
    <row r="255" spans="2:34" x14ac:dyDescent="0.3">
      <c r="B255" s="307"/>
      <c r="C255" s="342"/>
      <c r="D255" s="429"/>
      <c r="E255" s="310"/>
      <c r="F255" s="432"/>
      <c r="G255" s="49" t="s">
        <v>37</v>
      </c>
      <c r="H255" s="49">
        <v>112</v>
      </c>
      <c r="I255" s="444"/>
      <c r="J255" s="49" t="s">
        <v>76</v>
      </c>
      <c r="K255" s="49" t="s">
        <v>90</v>
      </c>
      <c r="L255" s="310"/>
      <c r="M255" s="447"/>
      <c r="N255" s="310"/>
      <c r="O255" s="310"/>
      <c r="P255" s="356"/>
      <c r="Q255" s="310"/>
      <c r="R255" s="310"/>
      <c r="S255" s="310"/>
      <c r="T255" s="333"/>
      <c r="U255" s="310"/>
      <c r="V255" s="310"/>
      <c r="W255" s="310"/>
      <c r="X255" s="310"/>
      <c r="Y255" s="310"/>
      <c r="Z255" s="310"/>
      <c r="AA255" s="310"/>
      <c r="AB255" s="310"/>
      <c r="AC255" s="49" t="s">
        <v>947</v>
      </c>
      <c r="AD255" s="49" t="s">
        <v>473</v>
      </c>
      <c r="AE255" s="49" t="s">
        <v>473</v>
      </c>
      <c r="AF255" s="49"/>
      <c r="AG255" s="49" t="s">
        <v>214</v>
      </c>
      <c r="AH255" s="50" t="s">
        <v>720</v>
      </c>
    </row>
    <row r="256" spans="2:34" x14ac:dyDescent="0.3">
      <c r="B256" s="307"/>
      <c r="C256" s="342"/>
      <c r="D256" s="429"/>
      <c r="E256" s="310"/>
      <c r="F256" s="432"/>
      <c r="G256" s="49" t="s">
        <v>40</v>
      </c>
      <c r="H256" s="49" t="s">
        <v>881</v>
      </c>
      <c r="I256" s="444"/>
      <c r="J256" s="49" t="s">
        <v>76</v>
      </c>
      <c r="K256" s="49" t="s">
        <v>93</v>
      </c>
      <c r="L256" s="310"/>
      <c r="M256" s="447"/>
      <c r="N256" s="310"/>
      <c r="O256" s="310"/>
      <c r="P256" s="356"/>
      <c r="Q256" s="310"/>
      <c r="R256" s="310"/>
      <c r="S256" s="310"/>
      <c r="T256" s="333"/>
      <c r="U256" s="310"/>
      <c r="V256" s="310"/>
      <c r="W256" s="310"/>
      <c r="X256" s="310"/>
      <c r="Y256" s="310"/>
      <c r="Z256" s="310"/>
      <c r="AA256" s="310"/>
      <c r="AB256" s="310"/>
      <c r="AC256" s="49" t="s">
        <v>609</v>
      </c>
      <c r="AD256" s="49" t="s">
        <v>473</v>
      </c>
      <c r="AE256" s="49" t="s">
        <v>473</v>
      </c>
      <c r="AF256" s="49"/>
      <c r="AG256" s="49" t="s">
        <v>217</v>
      </c>
      <c r="AH256" s="50" t="s">
        <v>722</v>
      </c>
    </row>
    <row r="257" spans="2:34" x14ac:dyDescent="0.3">
      <c r="B257" s="307"/>
      <c r="C257" s="342"/>
      <c r="D257" s="429"/>
      <c r="E257" s="310"/>
      <c r="F257" s="432"/>
      <c r="G257" s="49" t="s">
        <v>63</v>
      </c>
      <c r="H257" s="49">
        <v>108</v>
      </c>
      <c r="I257" s="444"/>
      <c r="J257" s="49" t="s">
        <v>76</v>
      </c>
      <c r="K257" s="49" t="s">
        <v>90</v>
      </c>
      <c r="L257" s="310"/>
      <c r="M257" s="447"/>
      <c r="N257" s="310"/>
      <c r="O257" s="310"/>
      <c r="P257" s="356"/>
      <c r="Q257" s="310"/>
      <c r="R257" s="310"/>
      <c r="S257" s="310"/>
      <c r="T257" s="333"/>
      <c r="U257" s="310"/>
      <c r="V257" s="310"/>
      <c r="W257" s="310"/>
      <c r="X257" s="310"/>
      <c r="Y257" s="310"/>
      <c r="Z257" s="310"/>
      <c r="AA257" s="310"/>
      <c r="AB257" s="310"/>
      <c r="AC257" s="49" t="s">
        <v>948</v>
      </c>
      <c r="AD257" s="49" t="s">
        <v>473</v>
      </c>
      <c r="AE257" s="49" t="s">
        <v>473</v>
      </c>
      <c r="AF257" s="49"/>
      <c r="AG257" s="49" t="s">
        <v>221</v>
      </c>
      <c r="AH257" s="50" t="s">
        <v>724</v>
      </c>
    </row>
    <row r="258" spans="2:34" x14ac:dyDescent="0.3">
      <c r="B258" s="307"/>
      <c r="C258" s="342"/>
      <c r="D258" s="429"/>
      <c r="E258" s="310"/>
      <c r="F258" s="432"/>
      <c r="G258" s="49" t="s">
        <v>801</v>
      </c>
      <c r="H258" s="49">
        <v>108</v>
      </c>
      <c r="I258" s="444"/>
      <c r="J258" s="49" t="s">
        <v>76</v>
      </c>
      <c r="K258" s="49" t="s">
        <v>90</v>
      </c>
      <c r="L258" s="310"/>
      <c r="M258" s="447"/>
      <c r="N258" s="310"/>
      <c r="O258" s="310"/>
      <c r="P258" s="356"/>
      <c r="Q258" s="310"/>
      <c r="R258" s="310"/>
      <c r="S258" s="310"/>
      <c r="T258" s="333"/>
      <c r="U258" s="310"/>
      <c r="V258" s="310"/>
      <c r="W258" s="310"/>
      <c r="X258" s="310"/>
      <c r="Y258" s="310"/>
      <c r="Z258" s="310"/>
      <c r="AA258" s="310"/>
      <c r="AB258" s="310"/>
      <c r="AC258" s="49" t="s">
        <v>948</v>
      </c>
      <c r="AD258" s="49" t="s">
        <v>473</v>
      </c>
      <c r="AE258" s="49" t="s">
        <v>473</v>
      </c>
      <c r="AF258" s="49"/>
      <c r="AG258" s="49" t="s">
        <v>501</v>
      </c>
      <c r="AH258" s="50" t="s">
        <v>907</v>
      </c>
    </row>
    <row r="259" spans="2:34" x14ac:dyDescent="0.3">
      <c r="B259" s="307"/>
      <c r="C259" s="342"/>
      <c r="D259" s="429"/>
      <c r="E259" s="310"/>
      <c r="F259" s="432"/>
      <c r="G259" s="49" t="s">
        <v>39</v>
      </c>
      <c r="H259" s="49" t="s">
        <v>880</v>
      </c>
      <c r="I259" s="444"/>
      <c r="J259" s="49" t="s">
        <v>76</v>
      </c>
      <c r="K259" s="49" t="s">
        <v>90</v>
      </c>
      <c r="L259" s="310"/>
      <c r="M259" s="447"/>
      <c r="N259" s="310"/>
      <c r="O259" s="310"/>
      <c r="P259" s="356"/>
      <c r="Q259" s="310"/>
      <c r="R259" s="310"/>
      <c r="S259" s="310"/>
      <c r="T259" s="333"/>
      <c r="U259" s="310"/>
      <c r="V259" s="310"/>
      <c r="W259" s="310"/>
      <c r="X259" s="310"/>
      <c r="Y259" s="310"/>
      <c r="Z259" s="310"/>
      <c r="AA259" s="310"/>
      <c r="AB259" s="310"/>
      <c r="AC259" s="49" t="s">
        <v>949</v>
      </c>
      <c r="AD259" s="49" t="s">
        <v>473</v>
      </c>
      <c r="AE259" s="49" t="s">
        <v>473</v>
      </c>
      <c r="AF259" s="49"/>
      <c r="AG259" s="49" t="s">
        <v>196</v>
      </c>
      <c r="AH259" s="50" t="s">
        <v>726</v>
      </c>
    </row>
    <row r="260" spans="2:34" x14ac:dyDescent="0.3">
      <c r="B260" s="307"/>
      <c r="C260" s="342"/>
      <c r="D260" s="429"/>
      <c r="E260" s="310"/>
      <c r="F260" s="432"/>
      <c r="G260" s="49" t="s">
        <v>43</v>
      </c>
      <c r="H260" s="49" t="s">
        <v>879</v>
      </c>
      <c r="I260" s="444"/>
      <c r="J260" s="49" t="s">
        <v>76</v>
      </c>
      <c r="K260" s="49" t="s">
        <v>93</v>
      </c>
      <c r="L260" s="310"/>
      <c r="M260" s="447"/>
      <c r="N260" s="310"/>
      <c r="O260" s="310"/>
      <c r="P260" s="356"/>
      <c r="Q260" s="310"/>
      <c r="R260" s="310"/>
      <c r="S260" s="310"/>
      <c r="T260" s="333"/>
      <c r="U260" s="310"/>
      <c r="V260" s="310"/>
      <c r="W260" s="310"/>
      <c r="X260" s="310"/>
      <c r="Y260" s="310"/>
      <c r="Z260" s="310"/>
      <c r="AA260" s="310"/>
      <c r="AB260" s="310"/>
      <c r="AC260" s="49" t="s">
        <v>950</v>
      </c>
      <c r="AD260" s="49" t="s">
        <v>473</v>
      </c>
      <c r="AE260" s="49" t="s">
        <v>473</v>
      </c>
      <c r="AF260" s="49"/>
      <c r="AG260" s="49" t="s">
        <v>224</v>
      </c>
      <c r="AH260" s="50" t="s">
        <v>725</v>
      </c>
    </row>
    <row r="261" spans="2:34" x14ac:dyDescent="0.3">
      <c r="B261" s="307"/>
      <c r="C261" s="342"/>
      <c r="D261" s="429"/>
      <c r="E261" s="310"/>
      <c r="F261" s="432"/>
      <c r="G261" s="49" t="s">
        <v>38</v>
      </c>
      <c r="H261" s="49">
        <v>101</v>
      </c>
      <c r="I261" s="444"/>
      <c r="J261" s="49" t="s">
        <v>76</v>
      </c>
      <c r="K261" s="49">
        <v>5</v>
      </c>
      <c r="L261" s="310"/>
      <c r="M261" s="447"/>
      <c r="N261" s="310"/>
      <c r="O261" s="310"/>
      <c r="P261" s="356"/>
      <c r="Q261" s="310"/>
      <c r="R261" s="310"/>
      <c r="S261" s="310"/>
      <c r="T261" s="333"/>
      <c r="U261" s="310"/>
      <c r="V261" s="310"/>
      <c r="W261" s="310"/>
      <c r="X261" s="310"/>
      <c r="Y261" s="310"/>
      <c r="Z261" s="310"/>
      <c r="AA261" s="310"/>
      <c r="AB261" s="310"/>
      <c r="AC261" s="49" t="s">
        <v>951</v>
      </c>
      <c r="AD261" s="49" t="s">
        <v>473</v>
      </c>
      <c r="AE261" s="49" t="s">
        <v>473</v>
      </c>
      <c r="AF261" s="49"/>
      <c r="AG261" s="49" t="s">
        <v>229</v>
      </c>
      <c r="AH261" s="50" t="s">
        <v>952</v>
      </c>
    </row>
    <row r="262" spans="2:34" x14ac:dyDescent="0.3">
      <c r="B262" s="307"/>
      <c r="C262" s="342"/>
      <c r="D262" s="429"/>
      <c r="E262" s="310"/>
      <c r="F262" s="432"/>
      <c r="G262" s="49" t="s">
        <v>44</v>
      </c>
      <c r="H262" s="49" t="s">
        <v>878</v>
      </c>
      <c r="I262" s="444"/>
      <c r="J262" s="49" t="s">
        <v>76</v>
      </c>
      <c r="K262" s="49" t="s">
        <v>93</v>
      </c>
      <c r="L262" s="310"/>
      <c r="M262" s="447"/>
      <c r="N262" s="310"/>
      <c r="O262" s="310"/>
      <c r="P262" s="356"/>
      <c r="Q262" s="310"/>
      <c r="R262" s="310"/>
      <c r="S262" s="310"/>
      <c r="T262" s="333"/>
      <c r="U262" s="310"/>
      <c r="V262" s="310"/>
      <c r="W262" s="310"/>
      <c r="X262" s="310"/>
      <c r="Y262" s="310"/>
      <c r="Z262" s="310"/>
      <c r="AA262" s="310"/>
      <c r="AB262" s="310"/>
      <c r="AC262" s="49" t="s">
        <v>953</v>
      </c>
      <c r="AD262" s="49" t="s">
        <v>473</v>
      </c>
      <c r="AE262" s="49" t="s">
        <v>473</v>
      </c>
      <c r="AF262" s="49"/>
      <c r="AG262" s="49" t="s">
        <v>517</v>
      </c>
      <c r="AH262" s="50" t="s">
        <v>730</v>
      </c>
    </row>
    <row r="263" spans="2:34" x14ac:dyDescent="0.3">
      <c r="B263" s="307"/>
      <c r="C263" s="342"/>
      <c r="D263" s="429"/>
      <c r="E263" s="310"/>
      <c r="F263" s="432"/>
      <c r="G263" s="49" t="s">
        <v>46</v>
      </c>
      <c r="H263" s="49" t="s">
        <v>877</v>
      </c>
      <c r="I263" s="444"/>
      <c r="J263" s="49" t="s">
        <v>76</v>
      </c>
      <c r="K263" s="49" t="s">
        <v>93</v>
      </c>
      <c r="L263" s="310"/>
      <c r="M263" s="447"/>
      <c r="N263" s="310"/>
      <c r="O263" s="310"/>
      <c r="P263" s="356"/>
      <c r="Q263" s="310"/>
      <c r="R263" s="310"/>
      <c r="S263" s="310"/>
      <c r="T263" s="333"/>
      <c r="U263" s="310"/>
      <c r="V263" s="310"/>
      <c r="W263" s="310"/>
      <c r="X263" s="310"/>
      <c r="Y263" s="310"/>
      <c r="Z263" s="310"/>
      <c r="AA263" s="310"/>
      <c r="AB263" s="310"/>
      <c r="AC263" s="49" t="s">
        <v>954</v>
      </c>
      <c r="AD263" s="49" t="s">
        <v>473</v>
      </c>
      <c r="AE263" s="49" t="s">
        <v>473</v>
      </c>
      <c r="AF263" s="49"/>
      <c r="AG263" s="49" t="s">
        <v>737</v>
      </c>
      <c r="AH263" s="50" t="s">
        <v>737</v>
      </c>
    </row>
    <row r="264" spans="2:34" x14ac:dyDescent="0.3">
      <c r="B264" s="307"/>
      <c r="C264" s="342"/>
      <c r="D264" s="429"/>
      <c r="E264" s="310"/>
      <c r="F264" s="432"/>
      <c r="G264" s="49" t="s">
        <v>45</v>
      </c>
      <c r="H264" s="49" t="s">
        <v>876</v>
      </c>
      <c r="I264" s="444"/>
      <c r="J264" s="49" t="s">
        <v>76</v>
      </c>
      <c r="K264" s="49" t="s">
        <v>93</v>
      </c>
      <c r="L264" s="310"/>
      <c r="M264" s="447"/>
      <c r="N264" s="310"/>
      <c r="O264" s="310"/>
      <c r="P264" s="356"/>
      <c r="Q264" s="310"/>
      <c r="R264" s="310"/>
      <c r="S264" s="310"/>
      <c r="T264" s="333"/>
      <c r="U264" s="310"/>
      <c r="V264" s="310"/>
      <c r="W264" s="310"/>
      <c r="X264" s="310"/>
      <c r="Y264" s="310"/>
      <c r="Z264" s="310"/>
      <c r="AA264" s="310"/>
      <c r="AB264" s="310"/>
      <c r="AC264" s="49" t="s">
        <v>955</v>
      </c>
      <c r="AD264" s="49" t="s">
        <v>473</v>
      </c>
      <c r="AE264" s="49" t="s">
        <v>473</v>
      </c>
      <c r="AF264" s="49"/>
      <c r="AG264" s="49" t="s">
        <v>240</v>
      </c>
      <c r="AH264" s="50" t="s">
        <v>735</v>
      </c>
    </row>
    <row r="265" spans="2:34" x14ac:dyDescent="0.3">
      <c r="B265" s="307"/>
      <c r="C265" s="342"/>
      <c r="D265" s="429"/>
      <c r="E265" s="310"/>
      <c r="F265" s="432"/>
      <c r="G265" s="49" t="s">
        <v>47</v>
      </c>
      <c r="H265" s="49" t="s">
        <v>875</v>
      </c>
      <c r="I265" s="444"/>
      <c r="J265" s="49" t="s">
        <v>76</v>
      </c>
      <c r="K265" s="49" t="s">
        <v>93</v>
      </c>
      <c r="L265" s="310"/>
      <c r="M265" s="447"/>
      <c r="N265" s="310"/>
      <c r="O265" s="310"/>
      <c r="P265" s="356"/>
      <c r="Q265" s="310"/>
      <c r="R265" s="310"/>
      <c r="S265" s="310"/>
      <c r="T265" s="333"/>
      <c r="U265" s="310"/>
      <c r="V265" s="310"/>
      <c r="W265" s="310"/>
      <c r="X265" s="310"/>
      <c r="Y265" s="310"/>
      <c r="Z265" s="310"/>
      <c r="AA265" s="310"/>
      <c r="AB265" s="310"/>
      <c r="AC265" s="49" t="s">
        <v>956</v>
      </c>
      <c r="AD265" s="49" t="s">
        <v>473</v>
      </c>
      <c r="AE265" s="49" t="s">
        <v>473</v>
      </c>
      <c r="AF265" s="49"/>
      <c r="AG265" s="49" t="s">
        <v>525</v>
      </c>
      <c r="AH265" s="50" t="s">
        <v>730</v>
      </c>
    </row>
    <row r="266" spans="2:34" x14ac:dyDescent="0.3">
      <c r="B266" s="307"/>
      <c r="C266" s="342"/>
      <c r="D266" s="429"/>
      <c r="E266" s="310"/>
      <c r="F266" s="432"/>
      <c r="G266" s="49" t="s">
        <v>42</v>
      </c>
      <c r="H266" s="49" t="s">
        <v>874</v>
      </c>
      <c r="I266" s="444"/>
      <c r="J266" s="49" t="s">
        <v>76</v>
      </c>
      <c r="K266" s="49" t="s">
        <v>93</v>
      </c>
      <c r="L266" s="310"/>
      <c r="M266" s="447"/>
      <c r="N266" s="310"/>
      <c r="O266" s="310"/>
      <c r="P266" s="356"/>
      <c r="Q266" s="310"/>
      <c r="R266" s="310"/>
      <c r="S266" s="310"/>
      <c r="T266" s="333"/>
      <c r="U266" s="310"/>
      <c r="V266" s="310"/>
      <c r="W266" s="310"/>
      <c r="X266" s="310"/>
      <c r="Y266" s="310"/>
      <c r="Z266" s="310"/>
      <c r="AA266" s="310"/>
      <c r="AB266" s="310"/>
      <c r="AC266" s="49" t="s">
        <v>957</v>
      </c>
      <c r="AD266" s="49" t="s">
        <v>473</v>
      </c>
      <c r="AE266" s="49" t="s">
        <v>473</v>
      </c>
      <c r="AF266" s="49"/>
      <c r="AG266" s="49" t="s">
        <v>235</v>
      </c>
      <c r="AH266" s="50" t="s">
        <v>732</v>
      </c>
    </row>
    <row r="267" spans="2:34" x14ac:dyDescent="0.3">
      <c r="B267" s="307"/>
      <c r="C267" s="342"/>
      <c r="D267" s="429"/>
      <c r="E267" s="310"/>
      <c r="F267" s="432"/>
      <c r="G267" s="49" t="s">
        <v>839</v>
      </c>
      <c r="H267" s="49" t="s">
        <v>873</v>
      </c>
      <c r="I267" s="444"/>
      <c r="J267" s="49" t="s">
        <v>76</v>
      </c>
      <c r="K267" s="49" t="s">
        <v>93</v>
      </c>
      <c r="L267" s="310"/>
      <c r="M267" s="447"/>
      <c r="N267" s="310"/>
      <c r="O267" s="310"/>
      <c r="P267" s="356"/>
      <c r="Q267" s="310"/>
      <c r="R267" s="310"/>
      <c r="S267" s="310"/>
      <c r="T267" s="333"/>
      <c r="U267" s="310"/>
      <c r="V267" s="310"/>
      <c r="W267" s="310"/>
      <c r="X267" s="310"/>
      <c r="Y267" s="310"/>
      <c r="Z267" s="310"/>
      <c r="AA267" s="310"/>
      <c r="AB267" s="310"/>
      <c r="AC267" s="49" t="s">
        <v>958</v>
      </c>
      <c r="AD267" s="49" t="s">
        <v>473</v>
      </c>
      <c r="AE267" s="49" t="s">
        <v>473</v>
      </c>
      <c r="AF267" s="49"/>
      <c r="AG267" s="49" t="s">
        <v>285</v>
      </c>
      <c r="AH267" s="50" t="s">
        <v>739</v>
      </c>
    </row>
    <row r="268" spans="2:34" x14ac:dyDescent="0.3">
      <c r="B268" s="307"/>
      <c r="C268" s="342"/>
      <c r="D268" s="429"/>
      <c r="E268" s="310"/>
      <c r="F268" s="432"/>
      <c r="G268" s="49" t="s">
        <v>872</v>
      </c>
      <c r="H268" s="49">
        <v>116</v>
      </c>
      <c r="I268" s="444"/>
      <c r="J268" s="49" t="s">
        <v>76</v>
      </c>
      <c r="K268" s="49">
        <v>5</v>
      </c>
      <c r="L268" s="310"/>
      <c r="M268" s="447"/>
      <c r="N268" s="310"/>
      <c r="O268" s="310"/>
      <c r="P268" s="356"/>
      <c r="Q268" s="310"/>
      <c r="R268" s="310"/>
      <c r="S268" s="310"/>
      <c r="T268" s="333"/>
      <c r="U268" s="310"/>
      <c r="V268" s="310"/>
      <c r="W268" s="310"/>
      <c r="X268" s="310"/>
      <c r="Y268" s="310"/>
      <c r="Z268" s="310"/>
      <c r="AA268" s="310"/>
      <c r="AB268" s="310"/>
      <c r="AC268" s="49" t="s">
        <v>959</v>
      </c>
      <c r="AD268" s="49" t="s">
        <v>473</v>
      </c>
      <c r="AE268" s="49" t="s">
        <v>473</v>
      </c>
      <c r="AF268" s="49"/>
      <c r="AG268" s="49" t="s">
        <v>323</v>
      </c>
      <c r="AH268" s="50" t="s">
        <v>960</v>
      </c>
    </row>
    <row r="269" spans="2:34" x14ac:dyDescent="0.3">
      <c r="B269" s="307"/>
      <c r="C269" s="342"/>
      <c r="D269" s="429"/>
      <c r="E269" s="310"/>
      <c r="F269" s="432"/>
      <c r="G269" s="49" t="s">
        <v>871</v>
      </c>
      <c r="H269" s="49">
        <v>56</v>
      </c>
      <c r="I269" s="444"/>
      <c r="J269" s="49" t="s">
        <v>76</v>
      </c>
      <c r="K269" s="49">
        <v>5</v>
      </c>
      <c r="L269" s="310"/>
      <c r="M269" s="447"/>
      <c r="N269" s="310"/>
      <c r="O269" s="310"/>
      <c r="P269" s="356"/>
      <c r="Q269" s="310"/>
      <c r="R269" s="310"/>
      <c r="S269" s="310"/>
      <c r="T269" s="333"/>
      <c r="U269" s="310"/>
      <c r="V269" s="310"/>
      <c r="W269" s="310"/>
      <c r="X269" s="310"/>
      <c r="Y269" s="310"/>
      <c r="Z269" s="310"/>
      <c r="AA269" s="310"/>
      <c r="AB269" s="310"/>
      <c r="AC269" s="49" t="s">
        <v>961</v>
      </c>
      <c r="AD269" s="49" t="s">
        <v>473</v>
      </c>
      <c r="AE269" s="49" t="s">
        <v>473</v>
      </c>
      <c r="AF269" s="49"/>
      <c r="AG269" s="49" t="s">
        <v>630</v>
      </c>
      <c r="AH269" s="50" t="s">
        <v>962</v>
      </c>
    </row>
    <row r="270" spans="2:34" x14ac:dyDescent="0.3">
      <c r="B270" s="307"/>
      <c r="C270" s="342"/>
      <c r="D270" s="429"/>
      <c r="E270" s="310"/>
      <c r="F270" s="432"/>
      <c r="G270" s="49" t="s">
        <v>870</v>
      </c>
      <c r="H270" s="49">
        <v>128</v>
      </c>
      <c r="I270" s="444"/>
      <c r="J270" s="49" t="s">
        <v>76</v>
      </c>
      <c r="K270" s="49">
        <v>5</v>
      </c>
      <c r="L270" s="310"/>
      <c r="M270" s="447"/>
      <c r="N270" s="310"/>
      <c r="O270" s="310"/>
      <c r="P270" s="356"/>
      <c r="Q270" s="310"/>
      <c r="R270" s="310"/>
      <c r="S270" s="310"/>
      <c r="T270" s="333"/>
      <c r="U270" s="310"/>
      <c r="V270" s="310"/>
      <c r="W270" s="310"/>
      <c r="X270" s="310"/>
      <c r="Y270" s="310"/>
      <c r="Z270" s="310"/>
      <c r="AA270" s="310"/>
      <c r="AB270" s="310"/>
      <c r="AC270" s="49" t="s">
        <v>963</v>
      </c>
      <c r="AD270" s="49" t="s">
        <v>473</v>
      </c>
      <c r="AE270" s="49" t="s">
        <v>473</v>
      </c>
      <c r="AF270" s="49"/>
      <c r="AG270" s="49" t="s">
        <v>233</v>
      </c>
      <c r="AH270" s="50" t="s">
        <v>964</v>
      </c>
    </row>
    <row r="271" spans="2:34" x14ac:dyDescent="0.3">
      <c r="B271" s="307"/>
      <c r="C271" s="342"/>
      <c r="D271" s="429"/>
      <c r="E271" s="310"/>
      <c r="F271" s="432"/>
      <c r="G271" s="49" t="s">
        <v>869</v>
      </c>
      <c r="H271" s="49">
        <v>307</v>
      </c>
      <c r="I271" s="444"/>
      <c r="J271" s="49" t="s">
        <v>76</v>
      </c>
      <c r="K271" s="49">
        <v>5</v>
      </c>
      <c r="L271" s="310"/>
      <c r="M271" s="447"/>
      <c r="N271" s="310"/>
      <c r="O271" s="310"/>
      <c r="P271" s="356"/>
      <c r="Q271" s="310"/>
      <c r="R271" s="310"/>
      <c r="S271" s="310"/>
      <c r="T271" s="333"/>
      <c r="U271" s="310"/>
      <c r="V271" s="310"/>
      <c r="W271" s="310"/>
      <c r="X271" s="310"/>
      <c r="Y271" s="310"/>
      <c r="Z271" s="310"/>
      <c r="AA271" s="310"/>
      <c r="AB271" s="310"/>
      <c r="AC271" s="49" t="s">
        <v>246</v>
      </c>
      <c r="AD271" s="49" t="s">
        <v>473</v>
      </c>
      <c r="AE271" s="49" t="s">
        <v>473</v>
      </c>
      <c r="AF271" s="49"/>
      <c r="AG271" s="49" t="s">
        <v>965</v>
      </c>
      <c r="AH271" s="50" t="s">
        <v>966</v>
      </c>
    </row>
    <row r="272" spans="2:34" x14ac:dyDescent="0.3">
      <c r="B272" s="307"/>
      <c r="C272" s="342"/>
      <c r="D272" s="429"/>
      <c r="E272" s="310"/>
      <c r="F272" s="432"/>
      <c r="G272" s="49" t="s">
        <v>868</v>
      </c>
      <c r="H272" s="49">
        <v>298</v>
      </c>
      <c r="I272" s="444"/>
      <c r="J272" s="49" t="s">
        <v>76</v>
      </c>
      <c r="K272" s="49">
        <v>5</v>
      </c>
      <c r="L272" s="310"/>
      <c r="M272" s="447"/>
      <c r="N272" s="310"/>
      <c r="O272" s="310"/>
      <c r="P272" s="356"/>
      <c r="Q272" s="310"/>
      <c r="R272" s="310"/>
      <c r="S272" s="310"/>
      <c r="T272" s="333"/>
      <c r="U272" s="310"/>
      <c r="V272" s="310"/>
      <c r="W272" s="310"/>
      <c r="X272" s="310"/>
      <c r="Y272" s="310"/>
      <c r="Z272" s="310"/>
      <c r="AA272" s="310"/>
      <c r="AB272" s="310"/>
      <c r="AC272" s="49" t="s">
        <v>967</v>
      </c>
      <c r="AD272" s="49" t="s">
        <v>473</v>
      </c>
      <c r="AE272" s="49" t="s">
        <v>473</v>
      </c>
      <c r="AF272" s="49"/>
      <c r="AG272" s="49" t="s">
        <v>252</v>
      </c>
      <c r="AH272" s="50" t="s">
        <v>968</v>
      </c>
    </row>
    <row r="273" spans="2:34" x14ac:dyDescent="0.3">
      <c r="B273" s="307"/>
      <c r="C273" s="342"/>
      <c r="D273" s="429"/>
      <c r="E273" s="310"/>
      <c r="F273" s="432"/>
      <c r="G273" s="49" t="s">
        <v>867</v>
      </c>
      <c r="H273" s="49">
        <v>101</v>
      </c>
      <c r="I273" s="444"/>
      <c r="J273" s="49" t="s">
        <v>76</v>
      </c>
      <c r="K273" s="49">
        <v>5</v>
      </c>
      <c r="L273" s="310"/>
      <c r="M273" s="447"/>
      <c r="N273" s="310"/>
      <c r="O273" s="310"/>
      <c r="P273" s="356"/>
      <c r="Q273" s="310"/>
      <c r="R273" s="310"/>
      <c r="S273" s="310"/>
      <c r="T273" s="333"/>
      <c r="U273" s="310"/>
      <c r="V273" s="310"/>
      <c r="W273" s="310"/>
      <c r="X273" s="310"/>
      <c r="Y273" s="310"/>
      <c r="Z273" s="310"/>
      <c r="AA273" s="310"/>
      <c r="AB273" s="310"/>
      <c r="AC273" s="49" t="s">
        <v>969</v>
      </c>
      <c r="AD273" s="49" t="s">
        <v>473</v>
      </c>
      <c r="AE273" s="49" t="s">
        <v>473</v>
      </c>
      <c r="AF273" s="49"/>
      <c r="AG273" s="49" t="s">
        <v>970</v>
      </c>
      <c r="AH273" s="50" t="s">
        <v>784</v>
      </c>
    </row>
    <row r="274" spans="2:34" x14ac:dyDescent="0.3">
      <c r="B274" s="307"/>
      <c r="C274" s="342"/>
      <c r="D274" s="429"/>
      <c r="E274" s="310"/>
      <c r="F274" s="432"/>
      <c r="G274" s="49" t="s">
        <v>866</v>
      </c>
      <c r="H274" s="49">
        <v>291</v>
      </c>
      <c r="I274" s="444"/>
      <c r="J274" s="49" t="s">
        <v>76</v>
      </c>
      <c r="K274" s="49">
        <v>5</v>
      </c>
      <c r="L274" s="310"/>
      <c r="M274" s="447"/>
      <c r="N274" s="310"/>
      <c r="O274" s="310"/>
      <c r="P274" s="356"/>
      <c r="Q274" s="310"/>
      <c r="R274" s="310"/>
      <c r="S274" s="310"/>
      <c r="T274" s="333"/>
      <c r="U274" s="310"/>
      <c r="V274" s="310"/>
      <c r="W274" s="310"/>
      <c r="X274" s="310"/>
      <c r="Y274" s="310"/>
      <c r="Z274" s="310"/>
      <c r="AA274" s="310"/>
      <c r="AB274" s="310"/>
      <c r="AC274" s="49" t="s">
        <v>971</v>
      </c>
      <c r="AD274" s="49" t="s">
        <v>473</v>
      </c>
      <c r="AE274" s="49" t="s">
        <v>473</v>
      </c>
      <c r="AF274" s="49"/>
      <c r="AG274" s="49" t="s">
        <v>908</v>
      </c>
      <c r="AH274" s="50" t="s">
        <v>972</v>
      </c>
    </row>
    <row r="275" spans="2:34" x14ac:dyDescent="0.3">
      <c r="B275" s="307"/>
      <c r="C275" s="342"/>
      <c r="D275" s="429"/>
      <c r="E275" s="310"/>
      <c r="F275" s="432"/>
      <c r="G275" s="49" t="s">
        <v>841</v>
      </c>
      <c r="H275" s="49" t="s">
        <v>864</v>
      </c>
      <c r="I275" s="444"/>
      <c r="J275" s="49" t="s">
        <v>76</v>
      </c>
      <c r="K275" s="49" t="s">
        <v>426</v>
      </c>
      <c r="L275" s="310"/>
      <c r="M275" s="447"/>
      <c r="N275" s="310"/>
      <c r="O275" s="310"/>
      <c r="P275" s="356"/>
      <c r="Q275" s="310"/>
      <c r="R275" s="310"/>
      <c r="S275" s="310"/>
      <c r="T275" s="333"/>
      <c r="U275" s="310"/>
      <c r="V275" s="310"/>
      <c r="W275" s="310"/>
      <c r="X275" s="310"/>
      <c r="Y275" s="310"/>
      <c r="Z275" s="310"/>
      <c r="AA275" s="310"/>
      <c r="AB275" s="310"/>
      <c r="AC275" s="49" t="s">
        <v>973</v>
      </c>
      <c r="AD275" s="49"/>
      <c r="AE275" s="49"/>
      <c r="AF275" s="49"/>
      <c r="AG275" s="49"/>
      <c r="AH275" s="50"/>
    </row>
    <row r="276" spans="2:34" x14ac:dyDescent="0.3">
      <c r="B276" s="307"/>
      <c r="C276" s="342"/>
      <c r="D276" s="429"/>
      <c r="E276" s="310"/>
      <c r="F276" s="432"/>
      <c r="G276" s="49" t="s">
        <v>368</v>
      </c>
      <c r="H276" s="49" t="s">
        <v>865</v>
      </c>
      <c r="I276" s="444"/>
      <c r="J276" s="49" t="s">
        <v>410</v>
      </c>
      <c r="K276" s="49"/>
      <c r="L276" s="310"/>
      <c r="M276" s="447"/>
      <c r="N276" s="310"/>
      <c r="O276" s="310"/>
      <c r="P276" s="356"/>
      <c r="Q276" s="310"/>
      <c r="R276" s="310"/>
      <c r="S276" s="310"/>
      <c r="T276" s="333"/>
      <c r="U276" s="310"/>
      <c r="V276" s="310"/>
      <c r="W276" s="310"/>
      <c r="X276" s="310"/>
      <c r="Y276" s="310"/>
      <c r="Z276" s="310"/>
      <c r="AA276" s="310"/>
      <c r="AB276" s="310"/>
      <c r="AC276" s="49" t="s">
        <v>974</v>
      </c>
      <c r="AD276" s="49" t="s">
        <v>473</v>
      </c>
      <c r="AE276" s="49" t="s">
        <v>473</v>
      </c>
      <c r="AF276" s="49"/>
      <c r="AG276" s="49" t="s">
        <v>289</v>
      </c>
      <c r="AH276" s="50" t="s">
        <v>289</v>
      </c>
    </row>
    <row r="277" spans="2:34" x14ac:dyDescent="0.3">
      <c r="B277" s="307"/>
      <c r="C277" s="342"/>
      <c r="D277" s="429"/>
      <c r="E277" s="310"/>
      <c r="F277" s="432"/>
      <c r="G277" s="49" t="s">
        <v>369</v>
      </c>
      <c r="H277" s="49" t="s">
        <v>864</v>
      </c>
      <c r="I277" s="444"/>
      <c r="J277" s="49" t="s">
        <v>411</v>
      </c>
      <c r="K277" s="49"/>
      <c r="L277" s="310"/>
      <c r="M277" s="447"/>
      <c r="N277" s="310"/>
      <c r="O277" s="310"/>
      <c r="P277" s="356"/>
      <c r="Q277" s="310"/>
      <c r="R277" s="310"/>
      <c r="S277" s="310"/>
      <c r="T277" s="333"/>
      <c r="U277" s="310"/>
      <c r="V277" s="310"/>
      <c r="W277" s="310"/>
      <c r="X277" s="310"/>
      <c r="Y277" s="310"/>
      <c r="Z277" s="310"/>
      <c r="AA277" s="310"/>
      <c r="AB277" s="310"/>
      <c r="AC277" s="49" t="s">
        <v>975</v>
      </c>
      <c r="AD277" s="49" t="s">
        <v>473</v>
      </c>
      <c r="AE277" s="49" t="s">
        <v>473</v>
      </c>
      <c r="AF277" s="49"/>
      <c r="AG277" s="49" t="s">
        <v>289</v>
      </c>
      <c r="AH277" s="50" t="s">
        <v>289</v>
      </c>
    </row>
    <row r="278" spans="2:34" x14ac:dyDescent="0.3">
      <c r="B278" s="307"/>
      <c r="C278" s="342"/>
      <c r="D278" s="429"/>
      <c r="E278" s="310"/>
      <c r="F278" s="432"/>
      <c r="G278" s="49" t="s">
        <v>821</v>
      </c>
      <c r="H278" s="49" t="s">
        <v>863</v>
      </c>
      <c r="I278" s="444"/>
      <c r="J278" s="49" t="s">
        <v>76</v>
      </c>
      <c r="K278" s="49" t="s">
        <v>93</v>
      </c>
      <c r="L278" s="310"/>
      <c r="M278" s="447"/>
      <c r="N278" s="310"/>
      <c r="O278" s="310"/>
      <c r="P278" s="356"/>
      <c r="Q278" s="310"/>
      <c r="R278" s="310"/>
      <c r="S278" s="310"/>
      <c r="T278" s="333"/>
      <c r="U278" s="310"/>
      <c r="V278" s="310"/>
      <c r="W278" s="310"/>
      <c r="X278" s="310"/>
      <c r="Y278" s="310"/>
      <c r="Z278" s="310"/>
      <c r="AA278" s="310"/>
      <c r="AB278" s="310"/>
      <c r="AC278" s="49" t="s">
        <v>976</v>
      </c>
      <c r="AD278" s="49" t="s">
        <v>473</v>
      </c>
      <c r="AE278" s="49" t="s">
        <v>473</v>
      </c>
      <c r="AF278" s="49"/>
      <c r="AG278" s="49" t="s">
        <v>290</v>
      </c>
      <c r="AH278" s="50" t="s">
        <v>290</v>
      </c>
    </row>
    <row r="279" spans="2:34" x14ac:dyDescent="0.3">
      <c r="B279" s="307"/>
      <c r="C279" s="342"/>
      <c r="D279" s="429"/>
      <c r="E279" s="310"/>
      <c r="F279" s="432"/>
      <c r="G279" s="49" t="s">
        <v>862</v>
      </c>
      <c r="H279" s="49" t="s">
        <v>861</v>
      </c>
      <c r="I279" s="444"/>
      <c r="J279" s="49" t="s">
        <v>76</v>
      </c>
      <c r="K279" s="49" t="s">
        <v>90</v>
      </c>
      <c r="L279" s="310"/>
      <c r="M279" s="447"/>
      <c r="N279" s="310"/>
      <c r="O279" s="310"/>
      <c r="P279" s="356"/>
      <c r="Q279" s="310"/>
      <c r="R279" s="310"/>
      <c r="S279" s="310"/>
      <c r="T279" s="333"/>
      <c r="U279" s="310"/>
      <c r="V279" s="310"/>
      <c r="W279" s="310"/>
      <c r="X279" s="310"/>
      <c r="Y279" s="310"/>
      <c r="Z279" s="310"/>
      <c r="AA279" s="310"/>
      <c r="AB279" s="310"/>
      <c r="AC279" s="49" t="s">
        <v>977</v>
      </c>
      <c r="AD279" s="49" t="s">
        <v>473</v>
      </c>
      <c r="AE279" s="49" t="s">
        <v>473</v>
      </c>
      <c r="AF279" s="49"/>
      <c r="AG279" s="49" t="s">
        <v>290</v>
      </c>
      <c r="AH279" s="50" t="s">
        <v>290</v>
      </c>
    </row>
    <row r="280" spans="2:34" x14ac:dyDescent="0.3">
      <c r="B280" s="307"/>
      <c r="C280" s="342"/>
      <c r="D280" s="429"/>
      <c r="E280" s="310"/>
      <c r="F280" s="432"/>
      <c r="G280" s="49" t="s">
        <v>860</v>
      </c>
      <c r="H280" s="49" t="s">
        <v>859</v>
      </c>
      <c r="I280" s="444"/>
      <c r="J280" s="49" t="s">
        <v>76</v>
      </c>
      <c r="K280" s="49" t="s">
        <v>90</v>
      </c>
      <c r="L280" s="310"/>
      <c r="M280" s="447"/>
      <c r="N280" s="310"/>
      <c r="O280" s="310"/>
      <c r="P280" s="356"/>
      <c r="Q280" s="310"/>
      <c r="R280" s="310"/>
      <c r="S280" s="310"/>
      <c r="T280" s="333"/>
      <c r="U280" s="310"/>
      <c r="V280" s="310"/>
      <c r="W280" s="310"/>
      <c r="X280" s="310"/>
      <c r="Y280" s="310"/>
      <c r="Z280" s="310"/>
      <c r="AA280" s="310"/>
      <c r="AB280" s="310"/>
      <c r="AC280" s="49" t="s">
        <v>978</v>
      </c>
      <c r="AD280" s="49" t="s">
        <v>473</v>
      </c>
      <c r="AE280" s="49" t="s">
        <v>473</v>
      </c>
      <c r="AF280" s="49"/>
      <c r="AG280" s="49" t="s">
        <v>979</v>
      </c>
      <c r="AH280" s="50" t="s">
        <v>980</v>
      </c>
    </row>
    <row r="281" spans="2:34" x14ac:dyDescent="0.3">
      <c r="B281" s="307"/>
      <c r="C281" s="342"/>
      <c r="D281" s="429"/>
      <c r="E281" s="310"/>
      <c r="F281" s="432"/>
      <c r="G281" s="49" t="s">
        <v>858</v>
      </c>
      <c r="H281" s="49" t="s">
        <v>857</v>
      </c>
      <c r="I281" s="444"/>
      <c r="J281" s="49" t="s">
        <v>76</v>
      </c>
      <c r="K281" s="49" t="s">
        <v>90</v>
      </c>
      <c r="L281" s="310"/>
      <c r="M281" s="447"/>
      <c r="N281" s="310"/>
      <c r="O281" s="310"/>
      <c r="P281" s="356"/>
      <c r="Q281" s="310"/>
      <c r="R281" s="310"/>
      <c r="S281" s="310"/>
      <c r="T281" s="333"/>
      <c r="U281" s="310"/>
      <c r="V281" s="310"/>
      <c r="W281" s="310"/>
      <c r="X281" s="310"/>
      <c r="Y281" s="310"/>
      <c r="Z281" s="310"/>
      <c r="AA281" s="310"/>
      <c r="AB281" s="310"/>
      <c r="AC281" s="49" t="s">
        <v>981</v>
      </c>
      <c r="AD281" s="49" t="s">
        <v>473</v>
      </c>
      <c r="AE281" s="49" t="s">
        <v>473</v>
      </c>
      <c r="AF281" s="49"/>
      <c r="AG281" s="49" t="s">
        <v>982</v>
      </c>
      <c r="AH281" s="50" t="s">
        <v>279</v>
      </c>
    </row>
    <row r="282" spans="2:34" x14ac:dyDescent="0.3">
      <c r="B282" s="307"/>
      <c r="C282" s="342"/>
      <c r="D282" s="429"/>
      <c r="E282" s="310"/>
      <c r="F282" s="432"/>
      <c r="G282" s="49" t="s">
        <v>856</v>
      </c>
      <c r="H282" s="49" t="s">
        <v>855</v>
      </c>
      <c r="I282" s="444"/>
      <c r="J282" s="49" t="s">
        <v>413</v>
      </c>
      <c r="K282" s="49" t="s">
        <v>854</v>
      </c>
      <c r="L282" s="310"/>
      <c r="M282" s="447"/>
      <c r="N282" s="310"/>
      <c r="O282" s="310"/>
      <c r="P282" s="356"/>
      <c r="Q282" s="310"/>
      <c r="R282" s="310"/>
      <c r="S282" s="310"/>
      <c r="T282" s="333"/>
      <c r="U282" s="310"/>
      <c r="V282" s="310"/>
      <c r="W282" s="310"/>
      <c r="X282" s="310"/>
      <c r="Y282" s="310"/>
      <c r="Z282" s="310"/>
      <c r="AA282" s="310"/>
      <c r="AB282" s="310"/>
      <c r="AC282" s="49" t="s">
        <v>983</v>
      </c>
      <c r="AD282" s="49" t="s">
        <v>473</v>
      </c>
      <c r="AE282" s="49" t="s">
        <v>473</v>
      </c>
      <c r="AF282" s="49"/>
      <c r="AG282" s="49" t="s">
        <v>984</v>
      </c>
      <c r="AH282" s="50" t="s">
        <v>985</v>
      </c>
    </row>
    <row r="283" spans="2:34" x14ac:dyDescent="0.3">
      <c r="B283" s="307"/>
      <c r="C283" s="342"/>
      <c r="D283" s="429"/>
      <c r="E283" s="310"/>
      <c r="F283" s="432"/>
      <c r="G283" s="49" t="s">
        <v>853</v>
      </c>
      <c r="H283" s="49">
        <v>109</v>
      </c>
      <c r="I283" s="444"/>
      <c r="J283" s="49" t="s">
        <v>76</v>
      </c>
      <c r="K283" s="49">
        <v>10</v>
      </c>
      <c r="L283" s="310"/>
      <c r="M283" s="447"/>
      <c r="N283" s="310"/>
      <c r="O283" s="310"/>
      <c r="P283" s="356"/>
      <c r="Q283" s="310"/>
      <c r="R283" s="310"/>
      <c r="S283" s="310"/>
      <c r="T283" s="333"/>
      <c r="U283" s="310"/>
      <c r="V283" s="310"/>
      <c r="W283" s="310"/>
      <c r="X283" s="310"/>
      <c r="Y283" s="310"/>
      <c r="Z283" s="310"/>
      <c r="AA283" s="310"/>
      <c r="AB283" s="310"/>
      <c r="AC283" s="49"/>
      <c r="AD283" s="49"/>
      <c r="AE283" s="49"/>
      <c r="AF283" s="49"/>
      <c r="AG283" s="49"/>
      <c r="AH283" s="50"/>
    </row>
    <row r="284" spans="2:34" x14ac:dyDescent="0.3">
      <c r="B284" s="307"/>
      <c r="C284" s="342"/>
      <c r="D284" s="429"/>
      <c r="E284" s="310"/>
      <c r="F284" s="432"/>
      <c r="G284" s="49" t="s">
        <v>53</v>
      </c>
      <c r="H284" s="49">
        <v>28</v>
      </c>
      <c r="I284" s="444"/>
      <c r="J284" s="49" t="s">
        <v>852</v>
      </c>
      <c r="K284" s="49"/>
      <c r="L284" s="310"/>
      <c r="M284" s="447"/>
      <c r="N284" s="310"/>
      <c r="O284" s="310"/>
      <c r="P284" s="356"/>
      <c r="Q284" s="310"/>
      <c r="R284" s="310"/>
      <c r="S284" s="310"/>
      <c r="T284" s="333"/>
      <c r="U284" s="310"/>
      <c r="V284" s="310"/>
      <c r="W284" s="310"/>
      <c r="X284" s="310"/>
      <c r="Y284" s="310"/>
      <c r="Z284" s="310"/>
      <c r="AA284" s="310"/>
      <c r="AB284" s="310"/>
      <c r="AC284" s="49" t="s">
        <v>254</v>
      </c>
      <c r="AD284" s="49"/>
      <c r="AE284" s="49"/>
      <c r="AF284" s="49"/>
      <c r="AG284" s="49"/>
      <c r="AH284" s="50"/>
    </row>
    <row r="285" spans="2:34" x14ac:dyDescent="0.3">
      <c r="B285" s="307"/>
      <c r="C285" s="342"/>
      <c r="D285" s="429"/>
      <c r="E285" s="310"/>
      <c r="F285" s="432"/>
      <c r="G285" s="49" t="s">
        <v>810</v>
      </c>
      <c r="H285" s="49">
        <v>75</v>
      </c>
      <c r="I285" s="444"/>
      <c r="J285" s="49" t="s">
        <v>851</v>
      </c>
      <c r="K285" s="49"/>
      <c r="L285" s="310"/>
      <c r="M285" s="447"/>
      <c r="N285" s="310"/>
      <c r="O285" s="310"/>
      <c r="P285" s="356"/>
      <c r="Q285" s="310"/>
      <c r="R285" s="310"/>
      <c r="S285" s="310"/>
      <c r="T285" s="333"/>
      <c r="U285" s="310"/>
      <c r="V285" s="310"/>
      <c r="W285" s="310"/>
      <c r="X285" s="310"/>
      <c r="Y285" s="310"/>
      <c r="Z285" s="310"/>
      <c r="AA285" s="310"/>
      <c r="AB285" s="310"/>
      <c r="AC285" s="49" t="s">
        <v>986</v>
      </c>
      <c r="AD285" s="49"/>
      <c r="AE285" s="49"/>
      <c r="AF285" s="49"/>
      <c r="AG285" s="49"/>
      <c r="AH285" s="50"/>
    </row>
    <row r="286" spans="2:34" x14ac:dyDescent="0.3">
      <c r="B286" s="307"/>
      <c r="C286" s="342"/>
      <c r="D286" s="429"/>
      <c r="E286" s="310"/>
      <c r="F286" s="432"/>
      <c r="G286" s="49" t="s">
        <v>54</v>
      </c>
      <c r="H286" s="49">
        <v>6</v>
      </c>
      <c r="I286" s="444"/>
      <c r="J286" s="49" t="s">
        <v>850</v>
      </c>
      <c r="K286" s="49"/>
      <c r="L286" s="310"/>
      <c r="M286" s="447"/>
      <c r="N286" s="310"/>
      <c r="O286" s="310"/>
      <c r="P286" s="356"/>
      <c r="Q286" s="310"/>
      <c r="R286" s="310"/>
      <c r="S286" s="310"/>
      <c r="T286" s="333"/>
      <c r="U286" s="310"/>
      <c r="V286" s="310"/>
      <c r="W286" s="310"/>
      <c r="X286" s="310"/>
      <c r="Y286" s="310"/>
      <c r="Z286" s="310"/>
      <c r="AA286" s="310"/>
      <c r="AB286" s="310"/>
      <c r="AC286" s="49" t="s">
        <v>987</v>
      </c>
      <c r="AD286" s="49"/>
      <c r="AE286" s="49"/>
      <c r="AF286" s="49"/>
      <c r="AG286" s="49"/>
      <c r="AH286" s="50"/>
    </row>
    <row r="287" spans="2:34" x14ac:dyDescent="0.3">
      <c r="B287" s="307"/>
      <c r="C287" s="342"/>
      <c r="D287" s="429"/>
      <c r="E287" s="310"/>
      <c r="F287" s="432"/>
      <c r="G287" s="49" t="s">
        <v>844</v>
      </c>
      <c r="H287" s="49">
        <v>9165</v>
      </c>
      <c r="I287" s="444"/>
      <c r="J287" s="49" t="s">
        <v>76</v>
      </c>
      <c r="K287" s="49">
        <v>50</v>
      </c>
      <c r="L287" s="310"/>
      <c r="M287" s="447"/>
      <c r="N287" s="310"/>
      <c r="O287" s="310"/>
      <c r="P287" s="356"/>
      <c r="Q287" s="310"/>
      <c r="R287" s="310"/>
      <c r="S287" s="310"/>
      <c r="T287" s="333"/>
      <c r="U287" s="310"/>
      <c r="V287" s="310"/>
      <c r="W287" s="310"/>
      <c r="X287" s="310"/>
      <c r="Y287" s="310"/>
      <c r="Z287" s="310"/>
      <c r="AA287" s="310"/>
      <c r="AB287" s="310"/>
      <c r="AC287" s="49"/>
      <c r="AD287" s="49"/>
      <c r="AE287" s="49"/>
      <c r="AF287" s="49"/>
      <c r="AG287" s="49"/>
      <c r="AH287" s="50"/>
    </row>
    <row r="288" spans="2:34" x14ac:dyDescent="0.3">
      <c r="B288" s="307"/>
      <c r="C288" s="342"/>
      <c r="D288" s="429"/>
      <c r="E288" s="310"/>
      <c r="F288" s="432"/>
      <c r="G288" s="49" t="s">
        <v>50</v>
      </c>
      <c r="H288" s="49">
        <v>3002</v>
      </c>
      <c r="I288" s="444"/>
      <c r="J288" s="49" t="s">
        <v>849</v>
      </c>
      <c r="K288" s="49"/>
      <c r="L288" s="310"/>
      <c r="M288" s="447"/>
      <c r="N288" s="310"/>
      <c r="O288" s="310"/>
      <c r="P288" s="356"/>
      <c r="Q288" s="310"/>
      <c r="R288" s="310"/>
      <c r="S288" s="310"/>
      <c r="T288" s="333"/>
      <c r="U288" s="310"/>
      <c r="V288" s="310"/>
      <c r="W288" s="310"/>
      <c r="X288" s="310"/>
      <c r="Y288" s="310"/>
      <c r="Z288" s="310"/>
      <c r="AA288" s="310"/>
      <c r="AB288" s="310"/>
      <c r="AC288" s="49" t="s">
        <v>987</v>
      </c>
      <c r="AD288" s="49"/>
      <c r="AE288" s="49"/>
      <c r="AF288" s="49"/>
      <c r="AG288" s="49"/>
      <c r="AH288" s="50"/>
    </row>
    <row r="289" spans="2:34" x14ac:dyDescent="0.3">
      <c r="B289" s="307"/>
      <c r="C289" s="342"/>
      <c r="D289" s="429"/>
      <c r="E289" s="310"/>
      <c r="F289" s="432"/>
      <c r="G289" s="49" t="s">
        <v>51</v>
      </c>
      <c r="H289" s="49">
        <v>5372</v>
      </c>
      <c r="I289" s="444"/>
      <c r="J289" s="49" t="s">
        <v>848</v>
      </c>
      <c r="K289" s="49"/>
      <c r="L289" s="310"/>
      <c r="M289" s="447"/>
      <c r="N289" s="310"/>
      <c r="O289" s="310"/>
      <c r="P289" s="356"/>
      <c r="Q289" s="310"/>
      <c r="R289" s="310"/>
      <c r="S289" s="310"/>
      <c r="T289" s="333"/>
      <c r="U289" s="310"/>
      <c r="V289" s="310"/>
      <c r="W289" s="310"/>
      <c r="X289" s="310"/>
      <c r="Y289" s="310"/>
      <c r="Z289" s="310"/>
      <c r="AA289" s="310"/>
      <c r="AB289" s="310"/>
      <c r="AC289" s="49" t="s">
        <v>988</v>
      </c>
      <c r="AD289" s="49"/>
      <c r="AE289" s="49"/>
      <c r="AF289" s="49"/>
      <c r="AG289" s="49"/>
      <c r="AH289" s="50"/>
    </row>
    <row r="290" spans="2:34" x14ac:dyDescent="0.3">
      <c r="B290" s="307"/>
      <c r="C290" s="342"/>
      <c r="D290" s="429"/>
      <c r="E290" s="310"/>
      <c r="F290" s="432"/>
      <c r="G290" s="49" t="s">
        <v>52</v>
      </c>
      <c r="H290" s="49">
        <v>790</v>
      </c>
      <c r="I290" s="444"/>
      <c r="J290" s="49" t="s">
        <v>847</v>
      </c>
      <c r="K290" s="49"/>
      <c r="L290" s="310"/>
      <c r="M290" s="447"/>
      <c r="N290" s="310"/>
      <c r="O290" s="310"/>
      <c r="P290" s="356"/>
      <c r="Q290" s="310"/>
      <c r="R290" s="310"/>
      <c r="S290" s="310"/>
      <c r="T290" s="333"/>
      <c r="U290" s="310"/>
      <c r="V290" s="310"/>
      <c r="W290" s="310"/>
      <c r="X290" s="310"/>
      <c r="Y290" s="310"/>
      <c r="Z290" s="310"/>
      <c r="AA290" s="310"/>
      <c r="AB290" s="310"/>
      <c r="AC290" s="49" t="s">
        <v>989</v>
      </c>
      <c r="AD290" s="49"/>
      <c r="AE290" s="49"/>
      <c r="AF290" s="49"/>
      <c r="AG290" s="49"/>
      <c r="AH290" s="50"/>
    </row>
    <row r="291" spans="2:34" ht="15" thickBot="1" x14ac:dyDescent="0.35">
      <c r="B291" s="307"/>
      <c r="C291" s="343"/>
      <c r="D291" s="430"/>
      <c r="E291" s="311"/>
      <c r="F291" s="433"/>
      <c r="G291" s="64" t="s">
        <v>846</v>
      </c>
      <c r="H291" s="51"/>
      <c r="I291" s="445"/>
      <c r="J291" s="51"/>
      <c r="K291" s="51"/>
      <c r="L291" s="311"/>
      <c r="M291" s="448"/>
      <c r="N291" s="311"/>
      <c r="O291" s="311"/>
      <c r="P291" s="357"/>
      <c r="Q291" s="311"/>
      <c r="R291" s="311"/>
      <c r="S291" s="311"/>
      <c r="T291" s="334"/>
      <c r="U291" s="311"/>
      <c r="V291" s="311"/>
      <c r="W291" s="311"/>
      <c r="X291" s="311"/>
      <c r="Y291" s="311"/>
      <c r="Z291" s="311"/>
      <c r="AA291" s="311"/>
      <c r="AB291" s="311"/>
      <c r="AC291" s="52" t="s">
        <v>990</v>
      </c>
      <c r="AD291" s="52" t="s">
        <v>473</v>
      </c>
      <c r="AE291" s="52" t="s">
        <v>473</v>
      </c>
      <c r="AF291" s="52"/>
      <c r="AG291" s="52" t="s">
        <v>559</v>
      </c>
      <c r="AH291" s="53" t="s">
        <v>900</v>
      </c>
    </row>
  </sheetData>
  <mergeCells count="281">
    <mergeCell ref="AC242:AH245"/>
    <mergeCell ref="BA5:BF5"/>
    <mergeCell ref="AW5:AZ5"/>
    <mergeCell ref="AL9:AL11"/>
    <mergeCell ref="AL12:AL14"/>
    <mergeCell ref="AL15:AL22"/>
    <mergeCell ref="AM9:AM11"/>
    <mergeCell ref="AM12:AM14"/>
    <mergeCell ref="AM15:AM22"/>
    <mergeCell ref="AN9:AN11"/>
    <mergeCell ref="AN12:AN14"/>
    <mergeCell ref="AN15:AN22"/>
    <mergeCell ref="AO9:AO11"/>
    <mergeCell ref="AO12:AO14"/>
    <mergeCell ref="AO15:AO22"/>
    <mergeCell ref="BA15:BA16"/>
    <mergeCell ref="AZ15:AZ16"/>
    <mergeCell ref="BA19:BA20"/>
    <mergeCell ref="AX6:AZ7"/>
    <mergeCell ref="AZ9:AZ10"/>
    <mergeCell ref="AY9:AY10"/>
    <mergeCell ref="AX9:AX10"/>
    <mergeCell ref="BC15:BC16"/>
    <mergeCell ref="AR15:AR16"/>
    <mergeCell ref="AV15:AV16"/>
    <mergeCell ref="AF9:AF40"/>
    <mergeCell ref="U222:AB241"/>
    <mergeCell ref="Q202:Q221"/>
    <mergeCell ref="R202:R221"/>
    <mergeCell ref="S202:S221"/>
    <mergeCell ref="Q222:Q241"/>
    <mergeCell ref="R222:R241"/>
    <mergeCell ref="S222:S241"/>
    <mergeCell ref="T9:T40"/>
    <mergeCell ref="T222:T241"/>
    <mergeCell ref="AQ15:AQ17"/>
    <mergeCell ref="AQ18:AR18"/>
    <mergeCell ref="AA41:AB72"/>
    <mergeCell ref="T112:T144"/>
    <mergeCell ref="T145:T177"/>
    <mergeCell ref="M73:M111"/>
    <mergeCell ref="M112:M144"/>
    <mergeCell ref="M145:M177"/>
    <mergeCell ref="M178:M201"/>
    <mergeCell ref="M202:M221"/>
    <mergeCell ref="AQ9:AQ11"/>
    <mergeCell ref="AU15:AU16"/>
    <mergeCell ref="AT15:AT16"/>
    <mergeCell ref="AS15:AS16"/>
    <mergeCell ref="AK9:AK11"/>
    <mergeCell ref="BH5:BP6"/>
    <mergeCell ref="BH7:BH8"/>
    <mergeCell ref="BA12:BA13"/>
    <mergeCell ref="AK12:AK14"/>
    <mergeCell ref="AR12:AR13"/>
    <mergeCell ref="AS12:AS13"/>
    <mergeCell ref="AU12:AU13"/>
    <mergeCell ref="AV12:AV13"/>
    <mergeCell ref="AX12:AX13"/>
    <mergeCell ref="AY12:AY13"/>
    <mergeCell ref="AT12:AT13"/>
    <mergeCell ref="AQ12:AQ14"/>
    <mergeCell ref="AS5:AV5"/>
    <mergeCell ref="AW6:AW7"/>
    <mergeCell ref="AR9:AR10"/>
    <mergeCell ref="AT9:AT10"/>
    <mergeCell ref="AL5:AL8"/>
    <mergeCell ref="AM5:AM8"/>
    <mergeCell ref="AN5:AN8"/>
    <mergeCell ref="AO5:AO8"/>
    <mergeCell ref="Q6:S6"/>
    <mergeCell ref="Q7:R7"/>
    <mergeCell ref="I246:I291"/>
    <mergeCell ref="M222:M241"/>
    <mergeCell ref="M242:M245"/>
    <mergeCell ref="M246:M291"/>
    <mergeCell ref="AC5:AH6"/>
    <mergeCell ref="AZ12:AZ13"/>
    <mergeCell ref="T6:T8"/>
    <mergeCell ref="AD7:AF7"/>
    <mergeCell ref="AX15:AX16"/>
    <mergeCell ref="AY15:AY16"/>
    <mergeCell ref="M9:M40"/>
    <mergeCell ref="AC202:AH221"/>
    <mergeCell ref="AR19:AR20"/>
    <mergeCell ref="AS19:AS20"/>
    <mergeCell ref="AT19:AT20"/>
    <mergeCell ref="AU19:AU20"/>
    <mergeCell ref="AQ19:AQ22"/>
    <mergeCell ref="O9:O40"/>
    <mergeCell ref="O73:O111"/>
    <mergeCell ref="O145:O177"/>
    <mergeCell ref="N202:N221"/>
    <mergeCell ref="M41:M72"/>
    <mergeCell ref="E246:E291"/>
    <mergeCell ref="D246:D291"/>
    <mergeCell ref="F242:F245"/>
    <mergeCell ref="L246:L291"/>
    <mergeCell ref="N246:N291"/>
    <mergeCell ref="F222:F241"/>
    <mergeCell ref="F246:F291"/>
    <mergeCell ref="E222:E241"/>
    <mergeCell ref="D242:D245"/>
    <mergeCell ref="E242:E245"/>
    <mergeCell ref="L242:L245"/>
    <mergeCell ref="N242:N245"/>
    <mergeCell ref="I222:I241"/>
    <mergeCell ref="D222:D241"/>
    <mergeCell ref="I242:I245"/>
    <mergeCell ref="L222:L231"/>
    <mergeCell ref="L232:L241"/>
    <mergeCell ref="R2:AA2"/>
    <mergeCell ref="L178:L201"/>
    <mergeCell ref="F178:F201"/>
    <mergeCell ref="N178:N201"/>
    <mergeCell ref="O178:O201"/>
    <mergeCell ref="Q178:Q201"/>
    <mergeCell ref="R178:R201"/>
    <mergeCell ref="AA7:AB7"/>
    <mergeCell ref="U5:AB6"/>
    <mergeCell ref="O4:S4"/>
    <mergeCell ref="N6:N8"/>
    <mergeCell ref="O6:O8"/>
    <mergeCell ref="U7:V7"/>
    <mergeCell ref="G4:N4"/>
    <mergeCell ref="G5:K5"/>
    <mergeCell ref="N145:N177"/>
    <mergeCell ref="AA73:AB111"/>
    <mergeCell ref="AA112:AB144"/>
    <mergeCell ref="G6:G8"/>
    <mergeCell ref="S7:S8"/>
    <mergeCell ref="U41:Z72"/>
    <mergeCell ref="Y7:Z7"/>
    <mergeCell ref="F145:F177"/>
    <mergeCell ref="L145:L161"/>
    <mergeCell ref="L162:L177"/>
    <mergeCell ref="I73:I111"/>
    <mergeCell ref="AA9:AB40"/>
    <mergeCell ref="D202:E221"/>
    <mergeCell ref="F202:F221"/>
    <mergeCell ref="U202:Z221"/>
    <mergeCell ref="S73:S111"/>
    <mergeCell ref="E145:E177"/>
    <mergeCell ref="N73:N111"/>
    <mergeCell ref="Q73:Q111"/>
    <mergeCell ref="R73:R111"/>
    <mergeCell ref="N112:N144"/>
    <mergeCell ref="O112:O144"/>
    <mergeCell ref="Q112:Q144"/>
    <mergeCell ref="R112:R144"/>
    <mergeCell ref="E112:E144"/>
    <mergeCell ref="S145:S177"/>
    <mergeCell ref="F73:F111"/>
    <mergeCell ref="R145:R177"/>
    <mergeCell ref="U178:AB201"/>
    <mergeCell ref="F112:F144"/>
    <mergeCell ref="E41:E72"/>
    <mergeCell ref="T41:T72"/>
    <mergeCell ref="T73:T111"/>
    <mergeCell ref="B6:B8"/>
    <mergeCell ref="I202:I221"/>
    <mergeCell ref="I112:I144"/>
    <mergeCell ref="I145:I177"/>
    <mergeCell ref="I178:I201"/>
    <mergeCell ref="L202:L221"/>
    <mergeCell ref="Q9:Q40"/>
    <mergeCell ref="R9:R40"/>
    <mergeCell ref="S9:S40"/>
    <mergeCell ref="L9:L23"/>
    <mergeCell ref="L24:L40"/>
    <mergeCell ref="I41:I72"/>
    <mergeCell ref="P6:P8"/>
    <mergeCell ref="P112:P144"/>
    <mergeCell ref="E178:E201"/>
    <mergeCell ref="D145:D201"/>
    <mergeCell ref="L112:L144"/>
    <mergeCell ref="L93:L111"/>
    <mergeCell ref="L73:L92"/>
    <mergeCell ref="O202:O221"/>
    <mergeCell ref="D6:E8"/>
    <mergeCell ref="F6:F8"/>
    <mergeCell ref="E9:E40"/>
    <mergeCell ref="D9:D72"/>
    <mergeCell ref="C6:C8"/>
    <mergeCell ref="O41:O72"/>
    <mergeCell ref="N41:N72"/>
    <mergeCell ref="L41:L72"/>
    <mergeCell ref="F9:F40"/>
    <mergeCell ref="F41:F72"/>
    <mergeCell ref="N9:N40"/>
    <mergeCell ref="L6:M6"/>
    <mergeCell ref="L7:L8"/>
    <mergeCell ref="M7:M8"/>
    <mergeCell ref="H7:I7"/>
    <mergeCell ref="J7:J8"/>
    <mergeCell ref="K7:K8"/>
    <mergeCell ref="I9:I40"/>
    <mergeCell ref="O246:O291"/>
    <mergeCell ref="O242:O245"/>
    <mergeCell ref="Q242:Q245"/>
    <mergeCell ref="R242:R245"/>
    <mergeCell ref="P41:P72"/>
    <mergeCell ref="P73:P92"/>
    <mergeCell ref="P93:P111"/>
    <mergeCell ref="T178:T201"/>
    <mergeCell ref="T202:T221"/>
    <mergeCell ref="O222:O241"/>
    <mergeCell ref="R246:R291"/>
    <mergeCell ref="S246:S291"/>
    <mergeCell ref="A9:A72"/>
    <mergeCell ref="C9:C72"/>
    <mergeCell ref="Q41:Q72"/>
    <mergeCell ref="R41:R72"/>
    <mergeCell ref="S41:S72"/>
    <mergeCell ref="S112:S144"/>
    <mergeCell ref="B145:B291"/>
    <mergeCell ref="C145:C291"/>
    <mergeCell ref="P9:P23"/>
    <mergeCell ref="P145:P161"/>
    <mergeCell ref="P162:P177"/>
    <mergeCell ref="P178:P201"/>
    <mergeCell ref="P202:P221"/>
    <mergeCell ref="P222:P231"/>
    <mergeCell ref="P232:P241"/>
    <mergeCell ref="P242:P245"/>
    <mergeCell ref="P246:P291"/>
    <mergeCell ref="C73:C144"/>
    <mergeCell ref="D73:D144"/>
    <mergeCell ref="E73:E111"/>
    <mergeCell ref="P24:P40"/>
    <mergeCell ref="B9:B72"/>
    <mergeCell ref="B73:B144"/>
    <mergeCell ref="N222:N241"/>
    <mergeCell ref="U246:AB291"/>
    <mergeCell ref="Q145:Q177"/>
    <mergeCell ref="S178:S201"/>
    <mergeCell ref="S242:S245"/>
    <mergeCell ref="U242:Z245"/>
    <mergeCell ref="U145:Z177"/>
    <mergeCell ref="U112:Z144"/>
    <mergeCell ref="T242:T245"/>
    <mergeCell ref="T246:T291"/>
    <mergeCell ref="Q246:Q291"/>
    <mergeCell ref="AO2:AW2"/>
    <mergeCell ref="BA4:BF4"/>
    <mergeCell ref="BA6:BB8"/>
    <mergeCell ref="BA9:BA10"/>
    <mergeCell ref="AS6:AV7"/>
    <mergeCell ref="AS9:AS10"/>
    <mergeCell ref="AU9:AU10"/>
    <mergeCell ref="AV9:AV10"/>
    <mergeCell ref="AS4:AZ4"/>
    <mergeCell ref="BE6:BF7"/>
    <mergeCell ref="BE9:BE10"/>
    <mergeCell ref="BC6:BD7"/>
    <mergeCell ref="AP5:AP8"/>
    <mergeCell ref="AQ5:AR8"/>
    <mergeCell ref="BI20:BP20"/>
    <mergeCell ref="AV19:AV20"/>
    <mergeCell ref="AK15:AK22"/>
    <mergeCell ref="H6:K6"/>
    <mergeCell ref="AK3:BQ3"/>
    <mergeCell ref="BE12:BE13"/>
    <mergeCell ref="BE15:BE16"/>
    <mergeCell ref="AY19:AY20"/>
    <mergeCell ref="AX19:AX20"/>
    <mergeCell ref="AZ19:AZ20"/>
    <mergeCell ref="AU21:AU22"/>
    <mergeCell ref="BH4:BQ4"/>
    <mergeCell ref="BG6:BG8"/>
    <mergeCell ref="BI7:BJ7"/>
    <mergeCell ref="BK7:BL7"/>
    <mergeCell ref="BM7:BN7"/>
    <mergeCell ref="BO7:BP7"/>
    <mergeCell ref="L5:N5"/>
    <mergeCell ref="AG7:AH7"/>
    <mergeCell ref="U4:AH4"/>
    <mergeCell ref="O5:S5"/>
    <mergeCell ref="W7:X7"/>
    <mergeCell ref="BQ5:BQ7"/>
    <mergeCell ref="AK5:AK8"/>
  </mergeCells>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E434-4A41-460B-86FC-BEEA24257D61}">
  <sheetPr>
    <tabColor rgb="FFFFC000"/>
  </sheetPr>
  <dimension ref="G4:Z21"/>
  <sheetViews>
    <sheetView zoomScale="60" zoomScaleNormal="60" workbookViewId="0">
      <selection activeCell="H7" sqref="H7:H18"/>
    </sheetView>
  </sheetViews>
  <sheetFormatPr defaultColWidth="8.88671875" defaultRowHeight="14.4" x14ac:dyDescent="0.3"/>
  <cols>
    <col min="1" max="6" width="8.88671875" style="1"/>
    <col min="7" max="7" width="35.88671875" style="1" customWidth="1"/>
    <col min="8" max="8" width="32" style="1" customWidth="1"/>
    <col min="9" max="9" width="43.33203125" style="1" bestFit="1" customWidth="1"/>
    <col min="10" max="10" width="43.33203125" style="1" customWidth="1"/>
    <col min="11" max="11" width="34.5546875" style="1" bestFit="1" customWidth="1"/>
    <col min="12" max="12" width="21.33203125" style="1" bestFit="1" customWidth="1"/>
    <col min="13" max="13" width="13.88671875" style="1" bestFit="1" customWidth="1"/>
    <col min="14" max="14" width="20" style="1" customWidth="1"/>
    <col min="15" max="15" width="18.44140625" style="1" bestFit="1" customWidth="1"/>
    <col min="16" max="16" width="32" style="1" customWidth="1"/>
    <col min="17" max="17" width="31.88671875" style="1" bestFit="1" customWidth="1"/>
    <col min="18" max="18" width="30.109375" style="1" customWidth="1"/>
    <col min="19" max="21" width="26" style="1" customWidth="1"/>
    <col min="22" max="23" width="8.88671875" style="1"/>
    <col min="24" max="24" width="11.33203125" style="1" bestFit="1" customWidth="1"/>
    <col min="25" max="25" width="10.44140625" style="1" bestFit="1" customWidth="1"/>
    <col min="26" max="26" width="7.88671875" style="1" bestFit="1" customWidth="1"/>
    <col min="27" max="16384" width="8.88671875" style="1"/>
  </cols>
  <sheetData>
    <row r="4" spans="7:26" ht="22.8" x14ac:dyDescent="0.3">
      <c r="G4" s="477" t="s">
        <v>1104</v>
      </c>
      <c r="H4" s="478"/>
      <c r="I4" s="478"/>
      <c r="J4" s="479"/>
      <c r="K4" s="482" t="s">
        <v>1101</v>
      </c>
      <c r="L4" s="482"/>
      <c r="M4" s="482"/>
      <c r="N4" s="482"/>
      <c r="O4" s="482"/>
      <c r="P4" s="482"/>
      <c r="Q4" s="482"/>
      <c r="R4" s="482"/>
      <c r="S4" s="482"/>
      <c r="T4" s="482"/>
      <c r="U4" s="482"/>
    </row>
    <row r="5" spans="7:26" ht="20.399999999999999" customHeight="1" x14ac:dyDescent="0.3">
      <c r="G5" s="476" t="s">
        <v>1102</v>
      </c>
      <c r="H5" s="480" t="s">
        <v>1103</v>
      </c>
      <c r="I5" s="476" t="s">
        <v>1099</v>
      </c>
      <c r="J5" s="480" t="s">
        <v>1150</v>
      </c>
      <c r="K5" s="476" t="s">
        <v>1111</v>
      </c>
      <c r="L5" s="476" t="s">
        <v>1094</v>
      </c>
      <c r="M5" s="476" t="s">
        <v>1008</v>
      </c>
      <c r="N5" s="476" t="s">
        <v>1007</v>
      </c>
      <c r="O5" s="475" t="s">
        <v>1</v>
      </c>
      <c r="P5" s="475" t="s">
        <v>1095</v>
      </c>
      <c r="Q5" s="476" t="s">
        <v>1096</v>
      </c>
      <c r="R5" s="476"/>
      <c r="S5" s="476"/>
      <c r="T5" s="476"/>
      <c r="U5" s="476"/>
    </row>
    <row r="6" spans="7:26" ht="43.2" customHeight="1" x14ac:dyDescent="0.3">
      <c r="G6" s="476"/>
      <c r="H6" s="481"/>
      <c r="I6" s="480"/>
      <c r="J6" s="481"/>
      <c r="K6" s="476"/>
      <c r="L6" s="476"/>
      <c r="M6" s="476"/>
      <c r="N6" s="476"/>
      <c r="O6" s="475"/>
      <c r="P6" s="475"/>
      <c r="Q6" s="181" t="s">
        <v>1139</v>
      </c>
      <c r="R6" s="180" t="s">
        <v>1097</v>
      </c>
      <c r="S6" s="180" t="s">
        <v>1098</v>
      </c>
      <c r="T6" s="180" t="s">
        <v>1221</v>
      </c>
      <c r="U6" s="180" t="s">
        <v>73</v>
      </c>
      <c r="X6" s="1" t="s">
        <v>7</v>
      </c>
      <c r="Y6" s="1" t="s">
        <v>1100</v>
      </c>
      <c r="Z6" s="1" t="s">
        <v>646</v>
      </c>
    </row>
    <row r="7" spans="7:26" ht="43.2" customHeight="1" x14ac:dyDescent="0.3">
      <c r="G7" s="486" t="s">
        <v>1194</v>
      </c>
      <c r="H7" s="473" t="s">
        <v>1182</v>
      </c>
      <c r="I7" s="174" t="s">
        <v>7</v>
      </c>
      <c r="J7" s="174" t="s">
        <v>1183</v>
      </c>
      <c r="K7" s="474" t="s">
        <v>1112</v>
      </c>
      <c r="L7" s="473" t="s">
        <v>1184</v>
      </c>
      <c r="M7" s="473" t="s">
        <v>1010</v>
      </c>
      <c r="N7" s="473" t="s">
        <v>1011</v>
      </c>
      <c r="O7" s="473" t="s">
        <v>1125</v>
      </c>
      <c r="P7" s="467" t="s">
        <v>994</v>
      </c>
      <c r="Q7" s="176" t="s">
        <v>1227</v>
      </c>
      <c r="R7" s="176" t="s">
        <v>1185</v>
      </c>
      <c r="S7" s="174">
        <v>2018</v>
      </c>
      <c r="T7" s="483" t="s">
        <v>1222</v>
      </c>
      <c r="U7" s="464" t="s">
        <v>1231</v>
      </c>
    </row>
    <row r="8" spans="7:26" ht="43.2" customHeight="1" x14ac:dyDescent="0.3">
      <c r="G8" s="487"/>
      <c r="H8" s="473"/>
      <c r="I8" s="174" t="s">
        <v>169</v>
      </c>
      <c r="J8" s="174" t="s">
        <v>1183</v>
      </c>
      <c r="K8" s="474"/>
      <c r="L8" s="473"/>
      <c r="M8" s="473"/>
      <c r="N8" s="473"/>
      <c r="O8" s="473"/>
      <c r="P8" s="467"/>
      <c r="Q8" s="176" t="s">
        <v>1228</v>
      </c>
      <c r="R8" s="176" t="s">
        <v>1185</v>
      </c>
      <c r="S8" s="174">
        <v>2023</v>
      </c>
      <c r="T8" s="484"/>
      <c r="U8" s="465"/>
    </row>
    <row r="9" spans="7:26" ht="43.2" customHeight="1" x14ac:dyDescent="0.3">
      <c r="G9" s="487"/>
      <c r="H9" s="473"/>
      <c r="I9" s="469" t="s">
        <v>646</v>
      </c>
      <c r="J9" s="469" t="s">
        <v>1183</v>
      </c>
      <c r="K9" s="474" t="s">
        <v>1117</v>
      </c>
      <c r="L9" s="473"/>
      <c r="M9" s="473"/>
      <c r="N9" s="473"/>
      <c r="O9" s="473"/>
      <c r="P9" s="467"/>
      <c r="Q9" s="176" t="s">
        <v>1229</v>
      </c>
      <c r="R9" s="176" t="s">
        <v>1185</v>
      </c>
      <c r="S9" s="174">
        <v>2025</v>
      </c>
      <c r="T9" s="484"/>
      <c r="U9" s="465"/>
    </row>
    <row r="10" spans="7:26" ht="43.2" customHeight="1" x14ac:dyDescent="0.3">
      <c r="G10" s="487"/>
      <c r="H10" s="473"/>
      <c r="I10" s="469"/>
      <c r="J10" s="469"/>
      <c r="K10" s="474"/>
      <c r="L10" s="473"/>
      <c r="M10" s="473"/>
      <c r="N10" s="473"/>
      <c r="O10" s="473"/>
      <c r="P10" s="467"/>
      <c r="Q10" s="176" t="s">
        <v>1230</v>
      </c>
      <c r="R10" s="176" t="s">
        <v>1185</v>
      </c>
      <c r="S10" s="174">
        <v>2025</v>
      </c>
      <c r="T10" s="484"/>
      <c r="U10" s="465"/>
    </row>
    <row r="11" spans="7:26" ht="43.2" customHeight="1" x14ac:dyDescent="0.3">
      <c r="G11" s="487"/>
      <c r="H11" s="473"/>
      <c r="I11" s="469"/>
      <c r="J11" s="469"/>
      <c r="K11" s="474"/>
      <c r="L11" s="473"/>
      <c r="M11" s="473"/>
      <c r="N11" s="473"/>
      <c r="O11" s="473"/>
      <c r="P11" s="467"/>
      <c r="Q11" s="176" t="s">
        <v>1186</v>
      </c>
      <c r="R11" s="176" t="s">
        <v>1187</v>
      </c>
      <c r="S11" s="174">
        <v>2025</v>
      </c>
      <c r="T11" s="485"/>
      <c r="U11" s="466"/>
    </row>
    <row r="12" spans="7:26" ht="67.5" customHeight="1" x14ac:dyDescent="0.3">
      <c r="G12" s="487"/>
      <c r="H12" s="473"/>
      <c r="I12" s="174" t="s">
        <v>1105</v>
      </c>
      <c r="J12" s="174" t="s">
        <v>1179</v>
      </c>
      <c r="K12" s="170" t="s">
        <v>1253</v>
      </c>
      <c r="L12" s="183"/>
      <c r="M12" s="183"/>
      <c r="N12" s="183"/>
      <c r="O12" s="183"/>
      <c r="P12" s="184"/>
      <c r="Q12" s="178"/>
      <c r="R12" s="174"/>
      <c r="S12" s="174"/>
      <c r="T12" s="174"/>
      <c r="U12" s="174"/>
    </row>
    <row r="13" spans="7:26" ht="76.5" customHeight="1" x14ac:dyDescent="0.3">
      <c r="G13" s="487"/>
      <c r="H13" s="473"/>
      <c r="I13" s="469" t="s">
        <v>1106</v>
      </c>
      <c r="J13" s="469" t="s">
        <v>1179</v>
      </c>
      <c r="K13" s="488" t="s">
        <v>1115</v>
      </c>
      <c r="L13" s="464" t="s">
        <v>1134</v>
      </c>
      <c r="M13" s="464" t="s">
        <v>1010</v>
      </c>
      <c r="N13" s="464" t="s">
        <v>1011</v>
      </c>
      <c r="O13" s="464">
        <v>2019</v>
      </c>
      <c r="P13" s="470" t="s">
        <v>1118</v>
      </c>
      <c r="Q13" s="174" t="s">
        <v>1135</v>
      </c>
      <c r="R13" s="469" t="s">
        <v>1136</v>
      </c>
      <c r="S13" s="463">
        <v>43800</v>
      </c>
      <c r="T13" s="461" t="s">
        <v>1223</v>
      </c>
      <c r="U13" s="461" t="s">
        <v>1138</v>
      </c>
    </row>
    <row r="14" spans="7:26" ht="76.5" customHeight="1" x14ac:dyDescent="0.3">
      <c r="G14" s="487"/>
      <c r="H14" s="473"/>
      <c r="I14" s="469"/>
      <c r="J14" s="469"/>
      <c r="K14" s="489"/>
      <c r="L14" s="465"/>
      <c r="M14" s="465"/>
      <c r="N14" s="465"/>
      <c r="O14" s="465"/>
      <c r="P14" s="471"/>
      <c r="Q14" s="464" t="s">
        <v>1137</v>
      </c>
      <c r="R14" s="469"/>
      <c r="S14" s="463"/>
      <c r="T14" s="468"/>
      <c r="U14" s="468"/>
    </row>
    <row r="15" spans="7:26" ht="24" customHeight="1" x14ac:dyDescent="0.3">
      <c r="G15" s="487"/>
      <c r="H15" s="473"/>
      <c r="I15" s="469"/>
      <c r="J15" s="469"/>
      <c r="K15" s="490"/>
      <c r="L15" s="466"/>
      <c r="M15" s="466"/>
      <c r="N15" s="466"/>
      <c r="O15" s="466"/>
      <c r="P15" s="472"/>
      <c r="Q15" s="466"/>
      <c r="R15" s="469"/>
      <c r="S15" s="463"/>
      <c r="T15" s="462"/>
      <c r="U15" s="462"/>
    </row>
    <row r="16" spans="7:26" ht="33" customHeight="1" x14ac:dyDescent="0.3">
      <c r="G16" s="487"/>
      <c r="H16" s="473"/>
      <c r="I16" s="174" t="s">
        <v>1107</v>
      </c>
      <c r="J16" s="174" t="s">
        <v>1179</v>
      </c>
      <c r="K16" s="169" t="s">
        <v>1114</v>
      </c>
      <c r="L16" s="176"/>
      <c r="M16" s="176"/>
      <c r="N16" s="176"/>
      <c r="O16" s="176"/>
      <c r="P16" s="177"/>
      <c r="Q16" s="178"/>
      <c r="R16" s="176"/>
      <c r="S16" s="175"/>
      <c r="T16" s="175"/>
      <c r="U16" s="175"/>
    </row>
    <row r="17" spans="7:21" ht="50.25" customHeight="1" x14ac:dyDescent="0.3">
      <c r="G17" s="487"/>
      <c r="H17" s="473"/>
      <c r="I17" s="174" t="s">
        <v>1108</v>
      </c>
      <c r="J17" s="174" t="s">
        <v>1179</v>
      </c>
      <c r="K17" s="169" t="s">
        <v>1113</v>
      </c>
      <c r="L17" s="176" t="s">
        <v>1154</v>
      </c>
      <c r="M17" s="176" t="s">
        <v>1156</v>
      </c>
      <c r="N17" s="176" t="s">
        <v>1011</v>
      </c>
      <c r="O17" s="176">
        <v>2022</v>
      </c>
      <c r="P17" s="179" t="s">
        <v>1155</v>
      </c>
      <c r="Q17" s="176" t="s">
        <v>1157</v>
      </c>
      <c r="R17" s="176" t="s">
        <v>1136</v>
      </c>
      <c r="S17" s="175">
        <v>44743</v>
      </c>
      <c r="T17" s="175" t="s">
        <v>1224</v>
      </c>
      <c r="U17" s="175"/>
    </row>
    <row r="18" spans="7:21" ht="70.2" customHeight="1" x14ac:dyDescent="0.3">
      <c r="G18" s="487"/>
      <c r="H18" s="473"/>
      <c r="I18" s="174" t="s">
        <v>1109</v>
      </c>
      <c r="J18" s="182" t="s">
        <v>1183</v>
      </c>
      <c r="K18" s="171" t="s">
        <v>1116</v>
      </c>
      <c r="L18" s="185"/>
      <c r="M18" s="172"/>
      <c r="N18" s="172"/>
      <c r="O18" s="172"/>
      <c r="P18" s="173"/>
      <c r="Q18" s="176"/>
      <c r="R18" s="174"/>
      <c r="S18" s="174"/>
      <c r="T18" s="174"/>
      <c r="U18" s="174"/>
    </row>
    <row r="19" spans="7:21" ht="54.75" customHeight="1" x14ac:dyDescent="0.3">
      <c r="G19" s="487"/>
      <c r="H19" s="473" t="s">
        <v>1178</v>
      </c>
      <c r="I19" s="469" t="s">
        <v>1110</v>
      </c>
      <c r="J19" s="469" t="s">
        <v>1179</v>
      </c>
      <c r="K19" s="473" t="s">
        <v>1226</v>
      </c>
      <c r="L19" s="469" t="s">
        <v>1130</v>
      </c>
      <c r="M19" s="469"/>
      <c r="N19" s="469"/>
      <c r="O19" s="469"/>
      <c r="P19" s="469"/>
      <c r="Q19" s="176" t="s">
        <v>1180</v>
      </c>
      <c r="R19" s="174" t="s">
        <v>1136</v>
      </c>
      <c r="S19" s="175">
        <v>44866</v>
      </c>
      <c r="T19" s="461" t="s">
        <v>1225</v>
      </c>
      <c r="U19" s="461"/>
    </row>
    <row r="20" spans="7:21" ht="15" x14ac:dyDescent="0.3">
      <c r="G20" s="487"/>
      <c r="H20" s="473"/>
      <c r="I20" s="469"/>
      <c r="J20" s="469"/>
      <c r="K20" s="473"/>
      <c r="L20" s="469"/>
      <c r="M20" s="469"/>
      <c r="N20" s="469"/>
      <c r="O20" s="469"/>
      <c r="P20" s="469"/>
      <c r="Q20" s="174" t="s">
        <v>1181</v>
      </c>
      <c r="R20" s="174" t="s">
        <v>1136</v>
      </c>
      <c r="S20" s="175">
        <v>44896</v>
      </c>
      <c r="T20" s="462"/>
      <c r="U20" s="462"/>
    </row>
    <row r="21" spans="7:21" x14ac:dyDescent="0.3">
      <c r="M21" s="13"/>
      <c r="N21" s="13"/>
      <c r="O21" s="13"/>
      <c r="P21" s="13"/>
      <c r="Q21" s="13"/>
    </row>
  </sheetData>
  <mergeCells count="46">
    <mergeCell ref="J13:J15"/>
    <mergeCell ref="G7:G20"/>
    <mergeCell ref="K7:K8"/>
    <mergeCell ref="L7:L11"/>
    <mergeCell ref="H19:H20"/>
    <mergeCell ref="I19:I20"/>
    <mergeCell ref="J19:J20"/>
    <mergeCell ref="K19:K20"/>
    <mergeCell ref="L19:P20"/>
    <mergeCell ref="I13:I15"/>
    <mergeCell ref="I9:I11"/>
    <mergeCell ref="H7:H18"/>
    <mergeCell ref="K13:K15"/>
    <mergeCell ref="M13:M15"/>
    <mergeCell ref="N13:N15"/>
    <mergeCell ref="O13:O15"/>
    <mergeCell ref="J9:J11"/>
    <mergeCell ref="K9:K11"/>
    <mergeCell ref="P5:P6"/>
    <mergeCell ref="Q5:U5"/>
    <mergeCell ref="G4:J4"/>
    <mergeCell ref="G5:G6"/>
    <mergeCell ref="H5:H6"/>
    <mergeCell ref="I5:I6"/>
    <mergeCell ref="K5:K6"/>
    <mergeCell ref="K4:U4"/>
    <mergeCell ref="L5:L6"/>
    <mergeCell ref="J5:J6"/>
    <mergeCell ref="M5:M6"/>
    <mergeCell ref="N5:N6"/>
    <mergeCell ref="O5:O6"/>
    <mergeCell ref="T7:T11"/>
    <mergeCell ref="T19:T20"/>
    <mergeCell ref="U19:U20"/>
    <mergeCell ref="S13:S15"/>
    <mergeCell ref="L13:L15"/>
    <mergeCell ref="P7:P11"/>
    <mergeCell ref="Q14:Q15"/>
    <mergeCell ref="T13:T15"/>
    <mergeCell ref="U13:U15"/>
    <mergeCell ref="R13:R15"/>
    <mergeCell ref="U7:U11"/>
    <mergeCell ref="P13:P15"/>
    <mergeCell ref="M7:M11"/>
    <mergeCell ref="N7:N11"/>
    <mergeCell ref="O7:O1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71AE-2271-4931-8F35-59AE60A83D03}">
  <sheetPr>
    <tabColor rgb="FFFFC000"/>
  </sheetPr>
  <dimension ref="D2:BU80"/>
  <sheetViews>
    <sheetView showGridLines="0" topLeftCell="T28" zoomScale="70" zoomScaleNormal="70" workbookViewId="0">
      <selection activeCell="N97" sqref="N97"/>
    </sheetView>
  </sheetViews>
  <sheetFormatPr defaultColWidth="8.88671875" defaultRowHeight="14.4" x14ac:dyDescent="0.3"/>
  <cols>
    <col min="1" max="3" width="8.88671875" style="1"/>
    <col min="4" max="4" width="38.33203125" style="1" customWidth="1"/>
    <col min="5" max="5" width="23.33203125" style="1" bestFit="1" customWidth="1"/>
    <col min="6" max="6" width="25.33203125" style="1" customWidth="1"/>
    <col min="7" max="7" width="22.44140625" style="1" customWidth="1"/>
    <col min="8" max="8" width="13" style="1" bestFit="1" customWidth="1"/>
    <col min="9" max="9" width="28" style="1" bestFit="1" customWidth="1"/>
    <col min="10" max="10" width="27.109375" style="1" customWidth="1"/>
    <col min="11" max="11" width="30.6640625" style="1" bestFit="1" customWidth="1"/>
    <col min="12" max="13" width="15.109375" style="1" customWidth="1"/>
    <col min="14" max="14" width="26.33203125" style="1" customWidth="1"/>
    <col min="15" max="16" width="15.109375" style="1" customWidth="1"/>
    <col min="17" max="18" width="25.33203125" style="1" customWidth="1"/>
    <col min="19" max="20" width="59.6640625" style="1" customWidth="1"/>
    <col min="21" max="21" width="15.88671875" style="1" bestFit="1" customWidth="1"/>
    <col min="22" max="22" width="16.88671875" style="1" bestFit="1" customWidth="1"/>
    <col min="23" max="23" width="27" style="1" bestFit="1" customWidth="1"/>
    <col min="24" max="24" width="35.88671875" style="1" bestFit="1" customWidth="1"/>
    <col min="25" max="29" width="12.5546875" style="1" customWidth="1"/>
    <col min="30" max="30" width="10.33203125" style="1" bestFit="1" customWidth="1"/>
    <col min="31" max="31" width="10.6640625" style="1" customWidth="1"/>
    <col min="32" max="32" width="18.109375" style="1" customWidth="1"/>
    <col min="33" max="33" width="54.5546875" style="1" customWidth="1"/>
    <col min="34" max="34" width="17.88671875" style="1" customWidth="1"/>
    <col min="35" max="36" width="20.109375" style="1" customWidth="1"/>
    <col min="37" max="37" width="20.44140625" style="1" customWidth="1"/>
    <col min="38" max="38" width="19.33203125" style="1" customWidth="1"/>
    <col min="39" max="40" width="8.88671875" style="1"/>
    <col min="41" max="41" width="12.6640625" style="1" customWidth="1"/>
    <col min="42" max="42" width="12.33203125" style="1" bestFit="1" customWidth="1"/>
    <col min="43" max="43" width="18.6640625" style="1" bestFit="1" customWidth="1"/>
    <col min="44" max="44" width="11.5546875" style="1" bestFit="1" customWidth="1"/>
    <col min="45" max="45" width="24.33203125" style="1" bestFit="1" customWidth="1"/>
    <col min="46" max="46" width="24.33203125" style="1" customWidth="1"/>
    <col min="47" max="47" width="24" style="1" bestFit="1" customWidth="1"/>
    <col min="48" max="48" width="26.6640625" style="1" bestFit="1" customWidth="1"/>
    <col min="49" max="49" width="18.6640625" style="1" bestFit="1" customWidth="1"/>
    <col min="50" max="50" width="18.6640625" style="1" customWidth="1"/>
    <col min="51" max="52" width="19.88671875" style="1" customWidth="1"/>
    <col min="53" max="53" width="30.6640625" style="1" bestFit="1" customWidth="1"/>
    <col min="54" max="54" width="30.6640625" style="1" customWidth="1"/>
    <col min="55" max="55" width="37.33203125" style="1" bestFit="1" customWidth="1"/>
    <col min="56" max="57" width="37.33203125" style="1" customWidth="1"/>
    <col min="58" max="58" width="31.6640625" style="1" bestFit="1" customWidth="1"/>
    <col min="59" max="59" width="31.6640625" style="1" customWidth="1"/>
    <col min="60" max="60" width="16.109375" style="1" customWidth="1"/>
    <col min="61" max="61" width="15.109375" style="1" bestFit="1" customWidth="1"/>
    <col min="62" max="62" width="28.109375" style="1" bestFit="1" customWidth="1"/>
    <col min="63" max="63" width="17.33203125" style="1" bestFit="1" customWidth="1"/>
    <col min="64" max="64" width="17.44140625" style="1" customWidth="1"/>
    <col min="65" max="72" width="8.88671875" style="1"/>
    <col min="73" max="73" width="81.44140625" style="1" bestFit="1" customWidth="1"/>
    <col min="74" max="16384" width="8.88671875" style="1"/>
  </cols>
  <sheetData>
    <row r="2" spans="4:73" x14ac:dyDescent="0.3">
      <c r="V2" s="227"/>
      <c r="W2" s="227"/>
      <c r="X2" s="227"/>
      <c r="Y2" s="227"/>
      <c r="Z2" s="227"/>
      <c r="AA2" s="227"/>
      <c r="AB2" s="227"/>
      <c r="AC2" s="227"/>
      <c r="AD2" s="227"/>
      <c r="AE2" s="227"/>
      <c r="AS2" s="227"/>
      <c r="AT2" s="227"/>
      <c r="AU2" s="227"/>
      <c r="AV2" s="227"/>
      <c r="AW2" s="227"/>
      <c r="AX2" s="227"/>
      <c r="AY2" s="227"/>
      <c r="AZ2" s="227"/>
      <c r="BA2" s="227"/>
    </row>
    <row r="3" spans="4:73" x14ac:dyDescent="0.3">
      <c r="AO3" s="260" t="s">
        <v>1086</v>
      </c>
      <c r="AP3" s="260"/>
      <c r="AQ3" s="260"/>
      <c r="AR3" s="260"/>
      <c r="AS3" s="260"/>
      <c r="AT3" s="260"/>
      <c r="AU3" s="260"/>
      <c r="AV3" s="260"/>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row>
    <row r="4" spans="4:73" ht="22.95" customHeight="1" x14ac:dyDescent="0.3">
      <c r="D4" s="229" t="s">
        <v>1085</v>
      </c>
      <c r="E4" s="229"/>
      <c r="F4" s="229"/>
      <c r="G4" s="229"/>
      <c r="H4" s="229"/>
      <c r="I4" s="229"/>
      <c r="J4" s="229"/>
      <c r="K4" s="229"/>
      <c r="L4" s="229"/>
      <c r="M4" s="229"/>
      <c r="N4" s="229"/>
      <c r="O4" s="229"/>
      <c r="P4" s="229"/>
      <c r="Q4" s="229"/>
      <c r="R4" s="229"/>
      <c r="S4" s="229" t="s">
        <v>22</v>
      </c>
      <c r="T4" s="229"/>
      <c r="U4" s="229"/>
      <c r="V4" s="229"/>
      <c r="W4" s="229"/>
      <c r="X4" s="75" t="s">
        <v>992</v>
      </c>
      <c r="Y4" s="229" t="s">
        <v>66</v>
      </c>
      <c r="Z4" s="229"/>
      <c r="AA4" s="229"/>
      <c r="AB4" s="229"/>
      <c r="AC4" s="229"/>
      <c r="AD4" s="229"/>
      <c r="AE4" s="229"/>
      <c r="AF4" s="229"/>
      <c r="AG4" s="229"/>
      <c r="AH4" s="229"/>
      <c r="AI4" s="229"/>
      <c r="AJ4" s="229"/>
      <c r="AK4" s="229"/>
      <c r="AL4" s="229"/>
      <c r="AW4" s="262" t="s">
        <v>1085</v>
      </c>
      <c r="AX4" s="263"/>
      <c r="AY4" s="263"/>
      <c r="AZ4" s="263"/>
      <c r="BA4" s="263"/>
      <c r="BB4" s="263"/>
      <c r="BC4" s="263"/>
      <c r="BD4" s="263"/>
      <c r="BE4" s="264" t="s">
        <v>22</v>
      </c>
      <c r="BF4" s="264"/>
      <c r="BG4" s="264"/>
      <c r="BH4" s="264"/>
      <c r="BI4" s="264"/>
      <c r="BJ4" s="264"/>
      <c r="BK4" s="76" t="s">
        <v>992</v>
      </c>
      <c r="BL4" s="265" t="s">
        <v>66</v>
      </c>
      <c r="BM4" s="265"/>
      <c r="BN4" s="265"/>
      <c r="BO4" s="265"/>
      <c r="BP4" s="265"/>
      <c r="BQ4" s="265"/>
      <c r="BR4" s="265"/>
      <c r="BS4" s="265"/>
      <c r="BT4" s="265"/>
      <c r="BU4" s="265"/>
    </row>
    <row r="5" spans="4:73" ht="22.95" customHeight="1" x14ac:dyDescent="0.3">
      <c r="D5" s="236" t="s">
        <v>1119</v>
      </c>
      <c r="E5" s="236"/>
      <c r="F5" s="236"/>
      <c r="G5" s="236"/>
      <c r="H5" s="236"/>
      <c r="I5" s="236"/>
      <c r="J5" s="236"/>
      <c r="K5" s="275" t="s">
        <v>1192</v>
      </c>
      <c r="L5" s="275"/>
      <c r="M5" s="275"/>
      <c r="N5" s="275"/>
      <c r="O5" s="275"/>
      <c r="P5" s="275"/>
      <c r="Q5" s="275"/>
      <c r="R5" s="275"/>
      <c r="S5" s="275" t="s">
        <v>67</v>
      </c>
      <c r="T5" s="275"/>
      <c r="U5" s="275"/>
      <c r="V5" s="275"/>
      <c r="W5" s="275"/>
      <c r="X5" s="35" t="s">
        <v>1006</v>
      </c>
      <c r="Y5" s="381" t="s">
        <v>429</v>
      </c>
      <c r="Z5" s="381"/>
      <c r="AA5" s="381"/>
      <c r="AB5" s="381"/>
      <c r="AC5" s="381"/>
      <c r="AD5" s="381"/>
      <c r="AE5" s="381"/>
      <c r="AF5" s="381"/>
      <c r="AG5" s="381" t="s">
        <v>68</v>
      </c>
      <c r="AH5" s="381"/>
      <c r="AI5" s="381"/>
      <c r="AJ5" s="381"/>
      <c r="AK5" s="381"/>
      <c r="AL5" s="381"/>
      <c r="AO5" s="491" t="s">
        <v>1029</v>
      </c>
      <c r="AP5" s="491" t="s">
        <v>1008</v>
      </c>
      <c r="AQ5" s="491" t="s">
        <v>1007</v>
      </c>
      <c r="AR5" s="491" t="s">
        <v>10</v>
      </c>
      <c r="AS5" s="308" t="s">
        <v>1</v>
      </c>
      <c r="AT5" s="308" t="s">
        <v>1095</v>
      </c>
      <c r="AU5" s="492" t="s">
        <v>4</v>
      </c>
      <c r="AV5" s="399"/>
      <c r="AW5" s="280" t="s">
        <v>1005</v>
      </c>
      <c r="AX5" s="280"/>
      <c r="AY5" s="280"/>
      <c r="AZ5" s="280"/>
      <c r="BA5" s="237" t="s">
        <v>23</v>
      </c>
      <c r="BB5" s="238"/>
      <c r="BC5" s="238"/>
      <c r="BD5" s="239"/>
      <c r="BE5" s="240" t="s">
        <v>67</v>
      </c>
      <c r="BF5" s="241"/>
      <c r="BG5" s="241"/>
      <c r="BH5" s="241"/>
      <c r="BI5" s="241"/>
      <c r="BJ5" s="242"/>
      <c r="BK5" s="77" t="s">
        <v>1004</v>
      </c>
      <c r="BL5" s="498" t="s">
        <v>1025</v>
      </c>
      <c r="BM5" s="499"/>
      <c r="BN5" s="499"/>
      <c r="BO5" s="499"/>
      <c r="BP5" s="499"/>
      <c r="BQ5" s="499"/>
      <c r="BR5" s="499"/>
      <c r="BS5" s="499"/>
      <c r="BT5" s="500"/>
      <c r="BU5" s="495" t="s">
        <v>68</v>
      </c>
    </row>
    <row r="6" spans="4:73" ht="37.200000000000003" customHeight="1" x14ac:dyDescent="0.3">
      <c r="D6" s="236" t="s">
        <v>1126</v>
      </c>
      <c r="E6" s="256" t="s">
        <v>1120</v>
      </c>
      <c r="F6" s="236" t="s">
        <v>1121</v>
      </c>
      <c r="G6" s="236" t="s">
        <v>1122</v>
      </c>
      <c r="H6" s="275" t="s">
        <v>25</v>
      </c>
      <c r="I6" s="275"/>
      <c r="J6" s="381" t="s">
        <v>70</v>
      </c>
      <c r="K6" s="381" t="s">
        <v>20</v>
      </c>
      <c r="L6" s="275" t="s">
        <v>21</v>
      </c>
      <c r="M6" s="275"/>
      <c r="N6" s="275"/>
      <c r="O6" s="275"/>
      <c r="P6" s="35"/>
      <c r="Q6" s="381" t="s">
        <v>69</v>
      </c>
      <c r="R6" s="381"/>
      <c r="S6" s="381" t="s">
        <v>71</v>
      </c>
      <c r="T6" s="381" t="s">
        <v>997</v>
      </c>
      <c r="U6" s="381" t="s">
        <v>24</v>
      </c>
      <c r="V6" s="381"/>
      <c r="W6" s="381"/>
      <c r="X6" s="381" t="s">
        <v>1091</v>
      </c>
      <c r="Y6" s="381"/>
      <c r="Z6" s="381"/>
      <c r="AA6" s="381"/>
      <c r="AB6" s="381"/>
      <c r="AC6" s="381"/>
      <c r="AD6" s="381"/>
      <c r="AE6" s="381"/>
      <c r="AF6" s="381"/>
      <c r="AG6" s="381"/>
      <c r="AH6" s="381"/>
      <c r="AI6" s="381"/>
      <c r="AJ6" s="381"/>
      <c r="AK6" s="381"/>
      <c r="AL6" s="381"/>
      <c r="AO6" s="491"/>
      <c r="AP6" s="491"/>
      <c r="AQ6" s="491"/>
      <c r="AR6" s="491"/>
      <c r="AS6" s="308"/>
      <c r="AT6" s="308"/>
      <c r="AU6" s="492"/>
      <c r="AV6" s="399"/>
      <c r="AW6" s="280" t="s">
        <v>1017</v>
      </c>
      <c r="AX6" s="280"/>
      <c r="AY6" s="280"/>
      <c r="AZ6" s="280"/>
      <c r="BA6" s="296" t="s">
        <v>69</v>
      </c>
      <c r="BB6" s="296" t="s">
        <v>1013</v>
      </c>
      <c r="BC6" s="296"/>
      <c r="BD6" s="296"/>
      <c r="BE6" s="246" t="s">
        <v>71</v>
      </c>
      <c r="BF6" s="246"/>
      <c r="BG6" s="246" t="s">
        <v>997</v>
      </c>
      <c r="BH6" s="246"/>
      <c r="BI6" s="246" t="s">
        <v>24</v>
      </c>
      <c r="BJ6" s="246"/>
      <c r="BK6" s="247" t="s">
        <v>1091</v>
      </c>
      <c r="BL6" s="501"/>
      <c r="BM6" s="502"/>
      <c r="BN6" s="502"/>
      <c r="BO6" s="502"/>
      <c r="BP6" s="502"/>
      <c r="BQ6" s="502"/>
      <c r="BR6" s="502"/>
      <c r="BS6" s="502"/>
      <c r="BT6" s="503"/>
      <c r="BU6" s="496"/>
    </row>
    <row r="7" spans="4:73" ht="37.200000000000003" customHeight="1" x14ac:dyDescent="0.3">
      <c r="D7" s="236"/>
      <c r="E7" s="256"/>
      <c r="F7" s="236"/>
      <c r="G7" s="236"/>
      <c r="H7" s="275"/>
      <c r="I7" s="275"/>
      <c r="J7" s="381"/>
      <c r="K7" s="381"/>
      <c r="L7" s="381" t="s">
        <v>72</v>
      </c>
      <c r="M7" s="381"/>
      <c r="N7" s="307" t="s">
        <v>73</v>
      </c>
      <c r="O7" s="381" t="s">
        <v>74</v>
      </c>
      <c r="P7" s="36"/>
      <c r="Q7" s="381" t="s">
        <v>1088</v>
      </c>
      <c r="R7" s="381" t="s">
        <v>1087</v>
      </c>
      <c r="S7" s="381"/>
      <c r="T7" s="381"/>
      <c r="U7" s="381" t="s">
        <v>1046</v>
      </c>
      <c r="V7" s="381"/>
      <c r="W7" s="275" t="s">
        <v>14</v>
      </c>
      <c r="X7" s="381"/>
      <c r="Y7" s="307" t="s">
        <v>17</v>
      </c>
      <c r="Z7" s="307"/>
      <c r="AA7" s="307" t="s">
        <v>18</v>
      </c>
      <c r="AB7" s="307"/>
      <c r="AC7" s="307" t="s">
        <v>19</v>
      </c>
      <c r="AD7" s="307"/>
      <c r="AE7" s="307" t="s">
        <v>667</v>
      </c>
      <c r="AF7" s="307"/>
      <c r="AG7" s="2" t="s">
        <v>174</v>
      </c>
      <c r="AH7" s="307" t="s">
        <v>175</v>
      </c>
      <c r="AI7" s="307"/>
      <c r="AJ7" s="307"/>
      <c r="AK7" s="307" t="s">
        <v>176</v>
      </c>
      <c r="AL7" s="307"/>
      <c r="AO7" s="491"/>
      <c r="AP7" s="491"/>
      <c r="AQ7" s="491"/>
      <c r="AR7" s="491"/>
      <c r="AS7" s="308"/>
      <c r="AT7" s="308"/>
      <c r="AU7" s="492"/>
      <c r="AV7" s="399"/>
      <c r="AW7" s="280"/>
      <c r="AX7" s="280"/>
      <c r="AY7" s="280"/>
      <c r="AZ7" s="280"/>
      <c r="BA7" s="296"/>
      <c r="BB7" s="296"/>
      <c r="BC7" s="296"/>
      <c r="BD7" s="296"/>
      <c r="BE7" s="246"/>
      <c r="BF7" s="246"/>
      <c r="BG7" s="246"/>
      <c r="BH7" s="246"/>
      <c r="BI7" s="246"/>
      <c r="BJ7" s="246"/>
      <c r="BK7" s="247"/>
      <c r="BL7" s="248" t="s">
        <v>1027</v>
      </c>
      <c r="BM7" s="244" t="s">
        <v>17</v>
      </c>
      <c r="BN7" s="244"/>
      <c r="BO7" s="244" t="s">
        <v>18</v>
      </c>
      <c r="BP7" s="244"/>
      <c r="BQ7" s="244" t="s">
        <v>19</v>
      </c>
      <c r="BR7" s="244"/>
      <c r="BS7" s="244" t="s">
        <v>667</v>
      </c>
      <c r="BT7" s="244"/>
      <c r="BU7" s="497"/>
    </row>
    <row r="8" spans="4:73" ht="28.8" x14ac:dyDescent="0.3">
      <c r="D8" s="236"/>
      <c r="E8" s="256"/>
      <c r="F8" s="236"/>
      <c r="G8" s="236"/>
      <c r="H8" s="275"/>
      <c r="I8" s="275"/>
      <c r="J8" s="381"/>
      <c r="K8" s="381"/>
      <c r="L8" s="35" t="s">
        <v>1059</v>
      </c>
      <c r="M8" s="36" t="s">
        <v>1057</v>
      </c>
      <c r="N8" s="307"/>
      <c r="O8" s="381"/>
      <c r="P8" s="36"/>
      <c r="Q8" s="381"/>
      <c r="R8" s="381"/>
      <c r="S8" s="381"/>
      <c r="T8" s="381"/>
      <c r="U8" s="36" t="s">
        <v>15</v>
      </c>
      <c r="V8" s="36" t="s">
        <v>16</v>
      </c>
      <c r="W8" s="275"/>
      <c r="X8" s="381"/>
      <c r="Y8" s="35" t="s">
        <v>2</v>
      </c>
      <c r="Z8" s="35" t="s">
        <v>3</v>
      </c>
      <c r="AA8" s="35" t="s">
        <v>2</v>
      </c>
      <c r="AB8" s="35" t="s">
        <v>3</v>
      </c>
      <c r="AC8" s="35" t="s">
        <v>2</v>
      </c>
      <c r="AD8" s="35" t="s">
        <v>3</v>
      </c>
      <c r="AE8" s="35" t="s">
        <v>2</v>
      </c>
      <c r="AF8" s="35" t="s">
        <v>3</v>
      </c>
      <c r="AG8" s="35" t="s">
        <v>179</v>
      </c>
      <c r="AH8" s="35" t="s">
        <v>177</v>
      </c>
      <c r="AI8" s="35" t="s">
        <v>178</v>
      </c>
      <c r="AJ8" s="35" t="s">
        <v>1057</v>
      </c>
      <c r="AK8" s="35" t="s">
        <v>177</v>
      </c>
      <c r="AL8" s="35" t="s">
        <v>178</v>
      </c>
      <c r="AO8" s="274"/>
      <c r="AP8" s="274"/>
      <c r="AQ8" s="274"/>
      <c r="AR8" s="274"/>
      <c r="AS8" s="309"/>
      <c r="AT8" s="309"/>
      <c r="AU8" s="493"/>
      <c r="AV8" s="494"/>
      <c r="AW8" s="65" t="s">
        <v>1016</v>
      </c>
      <c r="AX8" s="65" t="s">
        <v>1074</v>
      </c>
      <c r="AY8" s="66" t="s">
        <v>73</v>
      </c>
      <c r="AZ8" s="67" t="s">
        <v>1019</v>
      </c>
      <c r="BA8" s="65" t="s">
        <v>1026</v>
      </c>
      <c r="BB8" s="65" t="s">
        <v>1036</v>
      </c>
      <c r="BC8" s="65" t="s">
        <v>1021</v>
      </c>
      <c r="BD8" s="65" t="s">
        <v>1022</v>
      </c>
      <c r="BE8" s="246"/>
      <c r="BF8" s="246"/>
      <c r="BG8" s="69" t="s">
        <v>1071</v>
      </c>
      <c r="BH8" s="69" t="s">
        <v>1072</v>
      </c>
      <c r="BI8" s="62" t="s">
        <v>1035</v>
      </c>
      <c r="BJ8" s="62" t="s">
        <v>1014</v>
      </c>
      <c r="BK8" s="247"/>
      <c r="BL8" s="248"/>
      <c r="BM8" s="72" t="s">
        <v>1023</v>
      </c>
      <c r="BN8" s="72" t="s">
        <v>1024</v>
      </c>
      <c r="BO8" s="72" t="s">
        <v>1023</v>
      </c>
      <c r="BP8" s="72" t="s">
        <v>1024</v>
      </c>
      <c r="BQ8" s="72" t="s">
        <v>1023</v>
      </c>
      <c r="BR8" s="72" t="s">
        <v>1024</v>
      </c>
      <c r="BS8" s="72" t="s">
        <v>1023</v>
      </c>
      <c r="BT8" s="72" t="s">
        <v>1024</v>
      </c>
      <c r="BU8" s="74" t="s">
        <v>1048</v>
      </c>
    </row>
    <row r="9" spans="4:73" ht="28.95" customHeight="1" x14ac:dyDescent="0.3">
      <c r="D9" s="504">
        <v>5</v>
      </c>
      <c r="E9" s="504" t="s">
        <v>1191</v>
      </c>
      <c r="F9" s="504" t="s">
        <v>1127</v>
      </c>
      <c r="G9" s="504" t="s">
        <v>1190</v>
      </c>
      <c r="H9" s="256" t="s">
        <v>8</v>
      </c>
      <c r="I9" s="271" t="s">
        <v>12</v>
      </c>
      <c r="J9" s="270" t="s">
        <v>1039</v>
      </c>
      <c r="K9" s="3" t="s">
        <v>75</v>
      </c>
      <c r="L9" s="3" t="s">
        <v>371</v>
      </c>
      <c r="M9" s="271" t="s">
        <v>1058</v>
      </c>
      <c r="N9" s="3" t="s">
        <v>76</v>
      </c>
      <c r="O9" s="3" t="s">
        <v>414</v>
      </c>
      <c r="P9" s="3">
        <f>L9/O9</f>
        <v>3.896551724137931</v>
      </c>
      <c r="Q9" s="270" t="s">
        <v>1030</v>
      </c>
      <c r="R9" s="270" t="s">
        <v>845</v>
      </c>
      <c r="S9" s="270" t="s">
        <v>1089</v>
      </c>
      <c r="T9" s="270" t="s">
        <v>1000</v>
      </c>
      <c r="U9" s="270" t="s">
        <v>1042</v>
      </c>
      <c r="V9" s="270" t="s">
        <v>1043</v>
      </c>
      <c r="W9" s="270" t="s">
        <v>996</v>
      </c>
      <c r="X9" s="270" t="s">
        <v>1092</v>
      </c>
      <c r="Y9" s="3" t="s">
        <v>150</v>
      </c>
      <c r="Z9" s="3" t="s">
        <v>150</v>
      </c>
      <c r="AA9" s="3" t="s">
        <v>150</v>
      </c>
      <c r="AB9" s="3" t="s">
        <v>150</v>
      </c>
      <c r="AC9" s="3" t="s">
        <v>150</v>
      </c>
      <c r="AD9" s="3" t="s">
        <v>150</v>
      </c>
      <c r="AE9" s="271" t="s">
        <v>668</v>
      </c>
      <c r="AF9" s="271"/>
      <c r="AG9" s="4" t="s">
        <v>443</v>
      </c>
      <c r="AH9" s="3" t="s">
        <v>444</v>
      </c>
      <c r="AI9" s="3" t="s">
        <v>445</v>
      </c>
      <c r="AJ9" s="3"/>
      <c r="AK9" s="3" t="s">
        <v>446</v>
      </c>
      <c r="AL9" s="3" t="s">
        <v>447</v>
      </c>
    </row>
    <row r="10" spans="4:73" ht="14.4" customHeight="1" x14ac:dyDescent="0.3">
      <c r="D10" s="504"/>
      <c r="E10" s="504"/>
      <c r="F10" s="504"/>
      <c r="G10" s="504"/>
      <c r="H10" s="256"/>
      <c r="I10" s="271"/>
      <c r="J10" s="270"/>
      <c r="K10" s="3" t="s">
        <v>77</v>
      </c>
      <c r="L10" s="3" t="s">
        <v>372</v>
      </c>
      <c r="M10" s="271"/>
      <c r="N10" s="3" t="s">
        <v>76</v>
      </c>
      <c r="O10" s="3" t="s">
        <v>415</v>
      </c>
      <c r="P10" s="3" t="e">
        <f t="shared" ref="P10:P46" si="0">L10/O10</f>
        <v>#VALUE!</v>
      </c>
      <c r="Q10" s="270"/>
      <c r="R10" s="270"/>
      <c r="S10" s="270"/>
      <c r="T10" s="270"/>
      <c r="U10" s="270"/>
      <c r="V10" s="270"/>
      <c r="W10" s="270"/>
      <c r="X10" s="270"/>
      <c r="Y10" s="3" t="s">
        <v>150</v>
      </c>
      <c r="Z10" s="3" t="s">
        <v>150</v>
      </c>
      <c r="AA10" s="3" t="s">
        <v>150</v>
      </c>
      <c r="AB10" s="3" t="s">
        <v>150</v>
      </c>
      <c r="AC10" s="3" t="s">
        <v>150</v>
      </c>
      <c r="AD10" s="3" t="s">
        <v>150</v>
      </c>
      <c r="AE10" s="271"/>
      <c r="AF10" s="271"/>
      <c r="AG10" s="4" t="s">
        <v>448</v>
      </c>
      <c r="AH10" s="3" t="s">
        <v>449</v>
      </c>
      <c r="AI10" s="3" t="s">
        <v>450</v>
      </c>
      <c r="AJ10" s="3"/>
      <c r="AK10" s="3" t="s">
        <v>451</v>
      </c>
      <c r="AL10" s="3" t="s">
        <v>187</v>
      </c>
    </row>
    <row r="11" spans="4:73" ht="14.4" customHeight="1" x14ac:dyDescent="0.3">
      <c r="D11" s="504"/>
      <c r="E11" s="504"/>
      <c r="F11" s="504"/>
      <c r="G11" s="504"/>
      <c r="H11" s="256"/>
      <c r="I11" s="271"/>
      <c r="J11" s="270"/>
      <c r="K11" s="3" t="s">
        <v>361</v>
      </c>
      <c r="L11" s="3" t="s">
        <v>373</v>
      </c>
      <c r="M11" s="271"/>
      <c r="N11" s="3" t="s">
        <v>76</v>
      </c>
      <c r="O11" s="3" t="s">
        <v>416</v>
      </c>
      <c r="P11" s="3">
        <f t="shared" si="0"/>
        <v>3.48</v>
      </c>
      <c r="Q11" s="270"/>
      <c r="R11" s="270"/>
      <c r="S11" s="270"/>
      <c r="T11" s="270"/>
      <c r="U11" s="270"/>
      <c r="V11" s="270"/>
      <c r="W11" s="270"/>
      <c r="X11" s="270"/>
      <c r="Y11" s="3" t="s">
        <v>150</v>
      </c>
      <c r="Z11" s="3" t="s">
        <v>150</v>
      </c>
      <c r="AA11" s="3" t="s">
        <v>150</v>
      </c>
      <c r="AB11" s="3" t="s">
        <v>150</v>
      </c>
      <c r="AC11" s="3" t="s">
        <v>150</v>
      </c>
      <c r="AD11" s="3" t="s">
        <v>150</v>
      </c>
      <c r="AE11" s="271"/>
      <c r="AF11" s="271"/>
      <c r="AG11" s="4" t="s">
        <v>452</v>
      </c>
      <c r="AH11" s="3" t="s">
        <v>453</v>
      </c>
      <c r="AI11" s="3" t="s">
        <v>454</v>
      </c>
      <c r="AJ11" s="3"/>
      <c r="AK11" s="3" t="s">
        <v>455</v>
      </c>
      <c r="AL11" s="3" t="s">
        <v>456</v>
      </c>
    </row>
    <row r="12" spans="4:73" ht="14.4" customHeight="1" x14ac:dyDescent="0.3">
      <c r="D12" s="504"/>
      <c r="E12" s="504"/>
      <c r="F12" s="504"/>
      <c r="G12" s="504"/>
      <c r="H12" s="256"/>
      <c r="I12" s="271"/>
      <c r="J12" s="270"/>
      <c r="K12" s="3" t="s">
        <v>362</v>
      </c>
      <c r="L12" s="3" t="s">
        <v>374</v>
      </c>
      <c r="M12" s="271"/>
      <c r="N12" s="3" t="s">
        <v>375</v>
      </c>
      <c r="O12" s="3" t="s">
        <v>417</v>
      </c>
      <c r="P12" s="3" t="e">
        <f t="shared" si="0"/>
        <v>#VALUE!</v>
      </c>
      <c r="Q12" s="270"/>
      <c r="R12" s="270"/>
      <c r="S12" s="270"/>
      <c r="T12" s="270"/>
      <c r="U12" s="270"/>
      <c r="V12" s="270"/>
      <c r="W12" s="270"/>
      <c r="X12" s="270"/>
      <c r="Y12" s="3" t="s">
        <v>150</v>
      </c>
      <c r="Z12" s="3" t="s">
        <v>428</v>
      </c>
      <c r="AA12" s="3" t="s">
        <v>150</v>
      </c>
      <c r="AB12" s="3" t="s">
        <v>347</v>
      </c>
      <c r="AC12" s="3" t="s">
        <v>150</v>
      </c>
      <c r="AD12" s="3" t="s">
        <v>427</v>
      </c>
      <c r="AE12" s="271"/>
      <c r="AF12" s="271"/>
      <c r="AG12" s="4" t="s">
        <v>457</v>
      </c>
      <c r="AH12" s="3" t="s">
        <v>458</v>
      </c>
      <c r="AI12" s="3" t="s">
        <v>459</v>
      </c>
      <c r="AJ12" s="3"/>
      <c r="AK12" s="3" t="s">
        <v>460</v>
      </c>
      <c r="AL12" s="3" t="s">
        <v>461</v>
      </c>
    </row>
    <row r="13" spans="4:73" ht="14.4" customHeight="1" x14ac:dyDescent="0.3">
      <c r="D13" s="504"/>
      <c r="E13" s="504"/>
      <c r="F13" s="504"/>
      <c r="G13" s="504"/>
      <c r="H13" s="256"/>
      <c r="I13" s="271"/>
      <c r="J13" s="270"/>
      <c r="K13" s="3" t="s">
        <v>80</v>
      </c>
      <c r="L13" s="3" t="s">
        <v>376</v>
      </c>
      <c r="M13" s="271"/>
      <c r="N13" s="3" t="s">
        <v>76</v>
      </c>
      <c r="O13" s="3" t="s">
        <v>418</v>
      </c>
      <c r="P13" s="3">
        <f t="shared" si="0"/>
        <v>5.766990291262136</v>
      </c>
      <c r="Q13" s="270"/>
      <c r="R13" s="270"/>
      <c r="S13" s="270"/>
      <c r="T13" s="270"/>
      <c r="U13" s="270"/>
      <c r="V13" s="270"/>
      <c r="W13" s="270"/>
      <c r="X13" s="270"/>
      <c r="Y13" s="3" t="s">
        <v>150</v>
      </c>
      <c r="Z13" s="3" t="s">
        <v>150</v>
      </c>
      <c r="AA13" s="3" t="s">
        <v>150</v>
      </c>
      <c r="AB13" s="3" t="s">
        <v>150</v>
      </c>
      <c r="AC13" s="3" t="s">
        <v>150</v>
      </c>
      <c r="AD13" s="3" t="s">
        <v>150</v>
      </c>
      <c r="AE13" s="271"/>
      <c r="AF13" s="271"/>
      <c r="AG13" s="4" t="s">
        <v>462</v>
      </c>
      <c r="AH13" s="3" t="s">
        <v>463</v>
      </c>
      <c r="AI13" s="3" t="s">
        <v>464</v>
      </c>
      <c r="AJ13" s="3"/>
      <c r="AK13" s="3" t="s">
        <v>465</v>
      </c>
      <c r="AL13" s="3" t="s">
        <v>466</v>
      </c>
    </row>
    <row r="14" spans="4:73" ht="14.4" customHeight="1" x14ac:dyDescent="0.3">
      <c r="D14" s="504"/>
      <c r="E14" s="504"/>
      <c r="F14" s="504"/>
      <c r="G14" s="504"/>
      <c r="H14" s="256"/>
      <c r="I14" s="271"/>
      <c r="J14" s="270"/>
      <c r="K14" s="3" t="s">
        <v>171</v>
      </c>
      <c r="L14" s="3" t="s">
        <v>377</v>
      </c>
      <c r="M14" s="271"/>
      <c r="N14" s="3" t="s">
        <v>76</v>
      </c>
      <c r="O14" s="3" t="s">
        <v>419</v>
      </c>
      <c r="P14" s="3">
        <f t="shared" si="0"/>
        <v>5.05</v>
      </c>
      <c r="Q14" s="270"/>
      <c r="R14" s="270"/>
      <c r="S14" s="270"/>
      <c r="T14" s="270"/>
      <c r="U14" s="270"/>
      <c r="V14" s="270"/>
      <c r="W14" s="270"/>
      <c r="X14" s="270"/>
      <c r="Y14" s="3" t="s">
        <v>150</v>
      </c>
      <c r="Z14" s="3" t="s">
        <v>150</v>
      </c>
      <c r="AA14" s="3" t="s">
        <v>150</v>
      </c>
      <c r="AB14" s="3" t="s">
        <v>150</v>
      </c>
      <c r="AC14" s="3" t="s">
        <v>150</v>
      </c>
      <c r="AD14" s="3" t="s">
        <v>150</v>
      </c>
      <c r="AE14" s="271"/>
      <c r="AF14" s="271"/>
      <c r="AG14" s="4" t="s">
        <v>467</v>
      </c>
      <c r="AH14" s="3" t="s">
        <v>468</v>
      </c>
      <c r="AI14" s="3" t="s">
        <v>469</v>
      </c>
      <c r="AJ14" s="3"/>
      <c r="AK14" s="3" t="s">
        <v>470</v>
      </c>
      <c r="AL14" s="3" t="s">
        <v>471</v>
      </c>
    </row>
    <row r="15" spans="4:73" ht="14.4" customHeight="1" x14ac:dyDescent="0.3">
      <c r="D15" s="504"/>
      <c r="E15" s="504"/>
      <c r="F15" s="504"/>
      <c r="G15" s="504"/>
      <c r="H15" s="256"/>
      <c r="I15" s="271"/>
      <c r="J15" s="270"/>
      <c r="K15" s="3" t="s">
        <v>363</v>
      </c>
      <c r="L15" s="3" t="s">
        <v>378</v>
      </c>
      <c r="M15" s="271"/>
      <c r="N15" s="3" t="s">
        <v>76</v>
      </c>
      <c r="O15" s="3" t="s">
        <v>420</v>
      </c>
      <c r="P15" s="3">
        <f t="shared" si="0"/>
        <v>1.5</v>
      </c>
      <c r="Q15" s="270"/>
      <c r="R15" s="270"/>
      <c r="S15" s="270"/>
      <c r="T15" s="270"/>
      <c r="U15" s="270"/>
      <c r="V15" s="270"/>
      <c r="W15" s="270"/>
      <c r="X15" s="270"/>
      <c r="Y15" s="3" t="s">
        <v>150</v>
      </c>
      <c r="Z15" s="3" t="s">
        <v>150</v>
      </c>
      <c r="AA15" s="3" t="s">
        <v>150</v>
      </c>
      <c r="AB15" s="3" t="s">
        <v>150</v>
      </c>
      <c r="AC15" s="3" t="s">
        <v>150</v>
      </c>
      <c r="AD15" s="3" t="s">
        <v>150</v>
      </c>
      <c r="AE15" s="271"/>
      <c r="AF15" s="271"/>
      <c r="AG15" s="4" t="s">
        <v>472</v>
      </c>
      <c r="AH15" s="3" t="s">
        <v>473</v>
      </c>
      <c r="AI15" s="3" t="s">
        <v>473</v>
      </c>
      <c r="AJ15" s="3"/>
      <c r="AK15" s="3" t="s">
        <v>473</v>
      </c>
      <c r="AL15" s="3" t="s">
        <v>473</v>
      </c>
    </row>
    <row r="16" spans="4:73" ht="14.4" customHeight="1" x14ac:dyDescent="0.3">
      <c r="D16" s="504"/>
      <c r="E16" s="504"/>
      <c r="F16" s="504"/>
      <c r="G16" s="504"/>
      <c r="H16" s="256"/>
      <c r="I16" s="271"/>
      <c r="J16" s="270"/>
      <c r="K16" s="3" t="s">
        <v>83</v>
      </c>
      <c r="L16" s="3" t="s">
        <v>379</v>
      </c>
      <c r="M16" s="271"/>
      <c r="N16" s="3" t="s">
        <v>76</v>
      </c>
      <c r="O16" s="3" t="s">
        <v>417</v>
      </c>
      <c r="P16" s="3" t="e">
        <f t="shared" si="0"/>
        <v>#VALUE!</v>
      </c>
      <c r="Q16" s="270"/>
      <c r="R16" s="270"/>
      <c r="S16" s="270"/>
      <c r="T16" s="270"/>
      <c r="U16" s="270"/>
      <c r="V16" s="270"/>
      <c r="W16" s="270"/>
      <c r="X16" s="270"/>
      <c r="Y16" s="3" t="s">
        <v>150</v>
      </c>
      <c r="Z16" s="3" t="s">
        <v>150</v>
      </c>
      <c r="AA16" s="3" t="s">
        <v>150</v>
      </c>
      <c r="AB16" s="3" t="s">
        <v>150</v>
      </c>
      <c r="AC16" s="3" t="s">
        <v>150</v>
      </c>
      <c r="AD16" s="3" t="s">
        <v>150</v>
      </c>
      <c r="AE16" s="271"/>
      <c r="AF16" s="271"/>
      <c r="AG16" s="4" t="s">
        <v>474</v>
      </c>
      <c r="AH16" s="3" t="s">
        <v>475</v>
      </c>
      <c r="AI16" s="3" t="s">
        <v>476</v>
      </c>
      <c r="AJ16" s="3"/>
      <c r="AK16" s="3" t="s">
        <v>473</v>
      </c>
      <c r="AL16" s="3" t="s">
        <v>473</v>
      </c>
    </row>
    <row r="17" spans="4:38" ht="14.4" customHeight="1" x14ac:dyDescent="0.3">
      <c r="D17" s="504"/>
      <c r="E17" s="504"/>
      <c r="F17" s="504"/>
      <c r="G17" s="504"/>
      <c r="H17" s="256"/>
      <c r="I17" s="271"/>
      <c r="J17" s="270"/>
      <c r="K17" s="3" t="s">
        <v>85</v>
      </c>
      <c r="L17" s="3" t="s">
        <v>380</v>
      </c>
      <c r="M17" s="271"/>
      <c r="N17" s="3" t="s">
        <v>76</v>
      </c>
      <c r="O17" s="3" t="s">
        <v>421</v>
      </c>
      <c r="P17" s="3">
        <f t="shared" si="0"/>
        <v>1.05</v>
      </c>
      <c r="Q17" s="270"/>
      <c r="R17" s="270"/>
      <c r="S17" s="270"/>
      <c r="T17" s="270"/>
      <c r="U17" s="270"/>
      <c r="V17" s="270"/>
      <c r="W17" s="270"/>
      <c r="X17" s="270"/>
      <c r="Y17" s="3" t="s">
        <v>150</v>
      </c>
      <c r="Z17" s="3" t="s">
        <v>150</v>
      </c>
      <c r="AA17" s="3" t="s">
        <v>150</v>
      </c>
      <c r="AB17" s="3" t="s">
        <v>150</v>
      </c>
      <c r="AC17" s="3" t="s">
        <v>150</v>
      </c>
      <c r="AD17" s="3" t="s">
        <v>150</v>
      </c>
      <c r="AE17" s="271"/>
      <c r="AF17" s="271"/>
      <c r="AG17" s="4" t="s">
        <v>477</v>
      </c>
      <c r="AH17" s="3" t="s">
        <v>478</v>
      </c>
      <c r="AI17" s="3" t="s">
        <v>479</v>
      </c>
      <c r="AJ17" s="3"/>
      <c r="AK17" s="3" t="s">
        <v>480</v>
      </c>
      <c r="AL17" s="3" t="s">
        <v>481</v>
      </c>
    </row>
    <row r="18" spans="4:38" ht="14.4" customHeight="1" x14ac:dyDescent="0.3">
      <c r="D18" s="504"/>
      <c r="E18" s="504"/>
      <c r="F18" s="504"/>
      <c r="G18" s="504"/>
      <c r="H18" s="256"/>
      <c r="I18" s="271"/>
      <c r="J18" s="270"/>
      <c r="K18" s="3" t="s">
        <v>86</v>
      </c>
      <c r="L18" s="3" t="s">
        <v>381</v>
      </c>
      <c r="M18" s="271"/>
      <c r="N18" s="3" t="s">
        <v>76</v>
      </c>
      <c r="O18" s="3" t="s">
        <v>422</v>
      </c>
      <c r="P18" s="3">
        <f t="shared" si="0"/>
        <v>6.3291139240506329</v>
      </c>
      <c r="Q18" s="270"/>
      <c r="R18" s="270"/>
      <c r="S18" s="270"/>
      <c r="T18" s="270"/>
      <c r="U18" s="270"/>
      <c r="V18" s="270"/>
      <c r="W18" s="270"/>
      <c r="X18" s="270"/>
      <c r="Y18" s="3" t="s">
        <v>150</v>
      </c>
      <c r="Z18" s="3" t="s">
        <v>150</v>
      </c>
      <c r="AA18" s="3" t="s">
        <v>150</v>
      </c>
      <c r="AB18" s="3" t="s">
        <v>150</v>
      </c>
      <c r="AC18" s="3" t="s">
        <v>150</v>
      </c>
      <c r="AD18" s="3" t="s">
        <v>150</v>
      </c>
      <c r="AE18" s="271"/>
      <c r="AF18" s="271"/>
      <c r="AG18" s="4" t="s">
        <v>482</v>
      </c>
      <c r="AH18" s="3" t="s">
        <v>483</v>
      </c>
      <c r="AI18" s="3" t="s">
        <v>484</v>
      </c>
      <c r="AJ18" s="3"/>
      <c r="AK18" s="3" t="s">
        <v>485</v>
      </c>
      <c r="AL18" s="3" t="s">
        <v>486</v>
      </c>
    </row>
    <row r="19" spans="4:38" ht="14.4" customHeight="1" x14ac:dyDescent="0.3">
      <c r="D19" s="504"/>
      <c r="E19" s="504"/>
      <c r="F19" s="504"/>
      <c r="G19" s="504"/>
      <c r="H19" s="256"/>
      <c r="I19" s="271"/>
      <c r="J19" s="270"/>
      <c r="K19" s="3" t="s">
        <v>87</v>
      </c>
      <c r="L19" s="3" t="s">
        <v>382</v>
      </c>
      <c r="M19" s="271"/>
      <c r="N19" s="3" t="s">
        <v>76</v>
      </c>
      <c r="O19" s="3" t="s">
        <v>421</v>
      </c>
      <c r="P19" s="3">
        <f t="shared" si="0"/>
        <v>1.89</v>
      </c>
      <c r="Q19" s="270"/>
      <c r="R19" s="270"/>
      <c r="S19" s="270"/>
      <c r="T19" s="270"/>
      <c r="U19" s="270"/>
      <c r="V19" s="270"/>
      <c r="W19" s="270"/>
      <c r="X19" s="270"/>
      <c r="Y19" s="3" t="s">
        <v>150</v>
      </c>
      <c r="Z19" s="3" t="s">
        <v>150</v>
      </c>
      <c r="AA19" s="3" t="s">
        <v>150</v>
      </c>
      <c r="AB19" s="3" t="s">
        <v>150</v>
      </c>
      <c r="AC19" s="3" t="s">
        <v>150</v>
      </c>
      <c r="AD19" s="3" t="s">
        <v>150</v>
      </c>
      <c r="AE19" s="271"/>
      <c r="AF19" s="271"/>
      <c r="AG19" s="4" t="s">
        <v>487</v>
      </c>
      <c r="AH19" s="3" t="s">
        <v>488</v>
      </c>
      <c r="AI19" s="3" t="s">
        <v>489</v>
      </c>
      <c r="AJ19" s="3"/>
      <c r="AK19" s="3" t="s">
        <v>490</v>
      </c>
      <c r="AL19" s="3" t="s">
        <v>491</v>
      </c>
    </row>
    <row r="20" spans="4:38" ht="14.4" customHeight="1" x14ac:dyDescent="0.3">
      <c r="D20" s="504"/>
      <c r="E20" s="504"/>
      <c r="F20" s="504"/>
      <c r="G20" s="504"/>
      <c r="H20" s="256"/>
      <c r="I20" s="271"/>
      <c r="J20" s="270"/>
      <c r="K20" s="3" t="s">
        <v>88</v>
      </c>
      <c r="L20" s="3" t="s">
        <v>383</v>
      </c>
      <c r="M20" s="271"/>
      <c r="N20" s="3" t="s">
        <v>76</v>
      </c>
      <c r="O20" s="3" t="s">
        <v>90</v>
      </c>
      <c r="P20" s="3" t="e">
        <f t="shared" si="0"/>
        <v>#VALUE!</v>
      </c>
      <c r="Q20" s="270"/>
      <c r="R20" s="270"/>
      <c r="S20" s="270"/>
      <c r="T20" s="270"/>
      <c r="U20" s="270"/>
      <c r="V20" s="270"/>
      <c r="W20" s="270"/>
      <c r="X20" s="270"/>
      <c r="Y20" s="3" t="s">
        <v>150</v>
      </c>
      <c r="Z20" s="3" t="s">
        <v>150</v>
      </c>
      <c r="AA20" s="3" t="s">
        <v>150</v>
      </c>
      <c r="AB20" s="3" t="s">
        <v>150</v>
      </c>
      <c r="AC20" s="3" t="s">
        <v>150</v>
      </c>
      <c r="AD20" s="3" t="s">
        <v>150</v>
      </c>
      <c r="AE20" s="271"/>
      <c r="AF20" s="271"/>
      <c r="AG20" s="4" t="s">
        <v>492</v>
      </c>
      <c r="AH20" s="3" t="s">
        <v>187</v>
      </c>
      <c r="AI20" s="3" t="s">
        <v>275</v>
      </c>
      <c r="AJ20" s="3"/>
      <c r="AK20" s="3" t="s">
        <v>493</v>
      </c>
      <c r="AL20" s="3" t="s">
        <v>461</v>
      </c>
    </row>
    <row r="21" spans="4:38" ht="14.4" customHeight="1" x14ac:dyDescent="0.3">
      <c r="D21" s="504"/>
      <c r="E21" s="504"/>
      <c r="F21" s="504"/>
      <c r="G21" s="504"/>
      <c r="H21" s="256"/>
      <c r="I21" s="271"/>
      <c r="J21" s="270"/>
      <c r="K21" s="3" t="s">
        <v>91</v>
      </c>
      <c r="L21" s="3" t="s">
        <v>384</v>
      </c>
      <c r="M21" s="271"/>
      <c r="N21" s="3" t="s">
        <v>76</v>
      </c>
      <c r="O21" s="3" t="s">
        <v>93</v>
      </c>
      <c r="P21" s="3" t="e">
        <f t="shared" si="0"/>
        <v>#VALUE!</v>
      </c>
      <c r="Q21" s="270"/>
      <c r="R21" s="270"/>
      <c r="S21" s="270"/>
      <c r="T21" s="270"/>
      <c r="U21" s="270"/>
      <c r="V21" s="270"/>
      <c r="W21" s="270"/>
      <c r="X21" s="270"/>
      <c r="Y21" s="3" t="s">
        <v>150</v>
      </c>
      <c r="Z21" s="3" t="s">
        <v>150</v>
      </c>
      <c r="AA21" s="3" t="s">
        <v>150</v>
      </c>
      <c r="AB21" s="3" t="s">
        <v>150</v>
      </c>
      <c r="AC21" s="3" t="s">
        <v>150</v>
      </c>
      <c r="AD21" s="3" t="s">
        <v>150</v>
      </c>
      <c r="AE21" s="271"/>
      <c r="AF21" s="271"/>
      <c r="AG21" s="4" t="s">
        <v>226</v>
      </c>
      <c r="AH21" s="3" t="s">
        <v>494</v>
      </c>
      <c r="AI21" s="3" t="s">
        <v>495</v>
      </c>
      <c r="AJ21" s="3"/>
      <c r="AK21" s="3" t="s">
        <v>496</v>
      </c>
      <c r="AL21" s="3" t="s">
        <v>497</v>
      </c>
    </row>
    <row r="22" spans="4:38" ht="14.4" customHeight="1" x14ac:dyDescent="0.3">
      <c r="D22" s="504"/>
      <c r="E22" s="504"/>
      <c r="F22" s="504"/>
      <c r="G22" s="504"/>
      <c r="H22" s="256"/>
      <c r="I22" s="271"/>
      <c r="J22" s="270"/>
      <c r="K22" s="3" t="s">
        <v>94</v>
      </c>
      <c r="L22" s="3" t="s">
        <v>385</v>
      </c>
      <c r="M22" s="271"/>
      <c r="N22" s="3" t="s">
        <v>76</v>
      </c>
      <c r="O22" s="3" t="s">
        <v>90</v>
      </c>
      <c r="P22" s="3" t="e">
        <f t="shared" si="0"/>
        <v>#VALUE!</v>
      </c>
      <c r="Q22" s="270"/>
      <c r="R22" s="270"/>
      <c r="S22" s="270"/>
      <c r="T22" s="270"/>
      <c r="U22" s="270"/>
      <c r="V22" s="270"/>
      <c r="W22" s="270"/>
      <c r="X22" s="270"/>
      <c r="Y22" s="3" t="s">
        <v>150</v>
      </c>
      <c r="Z22" s="3" t="s">
        <v>150</v>
      </c>
      <c r="AA22" s="3" t="s">
        <v>150</v>
      </c>
      <c r="AB22" s="3" t="s">
        <v>150</v>
      </c>
      <c r="AC22" s="3" t="s">
        <v>150</v>
      </c>
      <c r="AD22" s="3" t="s">
        <v>150</v>
      </c>
      <c r="AE22" s="271"/>
      <c r="AF22" s="271"/>
      <c r="AG22" s="4" t="s">
        <v>498</v>
      </c>
      <c r="AH22" s="3" t="s">
        <v>499</v>
      </c>
      <c r="AI22" s="3" t="s">
        <v>500</v>
      </c>
      <c r="AJ22" s="3"/>
      <c r="AK22" s="3" t="s">
        <v>501</v>
      </c>
      <c r="AL22" s="3" t="s">
        <v>502</v>
      </c>
    </row>
    <row r="23" spans="4:38" ht="14.4" customHeight="1" x14ac:dyDescent="0.3">
      <c r="D23" s="504"/>
      <c r="E23" s="504"/>
      <c r="F23" s="504"/>
      <c r="G23" s="504"/>
      <c r="H23" s="256"/>
      <c r="I23" s="271"/>
      <c r="J23" s="270"/>
      <c r="K23" s="3" t="s">
        <v>96</v>
      </c>
      <c r="L23" s="3" t="s">
        <v>385</v>
      </c>
      <c r="M23" s="271"/>
      <c r="N23" s="3" t="s">
        <v>76</v>
      </c>
      <c r="O23" s="3" t="s">
        <v>90</v>
      </c>
      <c r="P23" s="3" t="e">
        <f t="shared" si="0"/>
        <v>#VALUE!</v>
      </c>
      <c r="Q23" s="270"/>
      <c r="R23" s="270"/>
      <c r="S23" s="270"/>
      <c r="T23" s="270"/>
      <c r="U23" s="270"/>
      <c r="V23" s="270"/>
      <c r="W23" s="270"/>
      <c r="X23" s="270"/>
      <c r="Y23" s="3" t="s">
        <v>150</v>
      </c>
      <c r="Z23" s="3" t="s">
        <v>150</v>
      </c>
      <c r="AA23" s="3" t="s">
        <v>150</v>
      </c>
      <c r="AB23" s="3" t="s">
        <v>150</v>
      </c>
      <c r="AC23" s="3" t="s">
        <v>150</v>
      </c>
      <c r="AD23" s="3" t="s">
        <v>150</v>
      </c>
      <c r="AE23" s="271"/>
      <c r="AF23" s="271"/>
      <c r="AG23" s="4" t="s">
        <v>498</v>
      </c>
      <c r="AH23" s="3" t="s">
        <v>499</v>
      </c>
      <c r="AI23" s="3" t="s">
        <v>500</v>
      </c>
      <c r="AJ23" s="3"/>
      <c r="AK23" s="3" t="s">
        <v>501</v>
      </c>
      <c r="AL23" s="3" t="s">
        <v>502</v>
      </c>
    </row>
    <row r="24" spans="4:38" ht="14.4" customHeight="1" x14ac:dyDescent="0.3">
      <c r="D24" s="504"/>
      <c r="E24" s="504"/>
      <c r="F24" s="504"/>
      <c r="G24" s="504"/>
      <c r="H24" s="256"/>
      <c r="I24" s="271"/>
      <c r="J24" s="270"/>
      <c r="K24" s="3" t="s">
        <v>172</v>
      </c>
      <c r="L24" s="3" t="s">
        <v>386</v>
      </c>
      <c r="M24" s="271"/>
      <c r="N24" s="3" t="s">
        <v>76</v>
      </c>
      <c r="O24" s="3" t="s">
        <v>93</v>
      </c>
      <c r="P24" s="3" t="e">
        <f t="shared" si="0"/>
        <v>#VALUE!</v>
      </c>
      <c r="Q24" s="270"/>
      <c r="R24" s="270"/>
      <c r="S24" s="270"/>
      <c r="T24" s="270"/>
      <c r="U24" s="270"/>
      <c r="V24" s="270"/>
      <c r="W24" s="270"/>
      <c r="X24" s="270"/>
      <c r="Y24" s="3" t="s">
        <v>150</v>
      </c>
      <c r="Z24" s="3" t="s">
        <v>150</v>
      </c>
      <c r="AA24" s="3" t="s">
        <v>150</v>
      </c>
      <c r="AB24" s="3" t="s">
        <v>150</v>
      </c>
      <c r="AC24" s="3" t="s">
        <v>150</v>
      </c>
      <c r="AD24" s="3" t="s">
        <v>150</v>
      </c>
      <c r="AE24" s="271"/>
      <c r="AF24" s="271"/>
      <c r="AG24" s="4" t="s">
        <v>503</v>
      </c>
      <c r="AH24" s="3" t="s">
        <v>220</v>
      </c>
      <c r="AI24" s="3" t="s">
        <v>504</v>
      </c>
      <c r="AJ24" s="3"/>
      <c r="AK24" s="3" t="s">
        <v>505</v>
      </c>
      <c r="AL24" s="3" t="s">
        <v>506</v>
      </c>
    </row>
    <row r="25" spans="4:38" ht="14.4" customHeight="1" x14ac:dyDescent="0.3">
      <c r="D25" s="504"/>
      <c r="E25" s="504"/>
      <c r="F25" s="504"/>
      <c r="G25" s="504"/>
      <c r="H25" s="256"/>
      <c r="I25" s="271"/>
      <c r="J25" s="270"/>
      <c r="K25" s="3" t="s">
        <v>99</v>
      </c>
      <c r="L25" s="3" t="s">
        <v>387</v>
      </c>
      <c r="M25" s="271"/>
      <c r="N25" s="3" t="s">
        <v>76</v>
      </c>
      <c r="O25" s="3" t="s">
        <v>90</v>
      </c>
      <c r="P25" s="3" t="e">
        <f t="shared" si="0"/>
        <v>#VALUE!</v>
      </c>
      <c r="Q25" s="270"/>
      <c r="R25" s="270"/>
      <c r="S25" s="270"/>
      <c r="T25" s="270"/>
      <c r="U25" s="270"/>
      <c r="V25" s="270"/>
      <c r="W25" s="270"/>
      <c r="X25" s="270"/>
      <c r="Y25" s="3" t="s">
        <v>150</v>
      </c>
      <c r="Z25" s="3" t="s">
        <v>150</v>
      </c>
      <c r="AA25" s="3" t="s">
        <v>150</v>
      </c>
      <c r="AB25" s="3" t="s">
        <v>150</v>
      </c>
      <c r="AC25" s="3" t="s">
        <v>150</v>
      </c>
      <c r="AD25" s="3" t="s">
        <v>150</v>
      </c>
      <c r="AE25" s="271"/>
      <c r="AF25" s="271"/>
      <c r="AG25" s="4" t="s">
        <v>507</v>
      </c>
      <c r="AH25" s="3" t="s">
        <v>508</v>
      </c>
      <c r="AI25" s="3" t="s">
        <v>509</v>
      </c>
      <c r="AJ25" s="3"/>
      <c r="AK25" s="3" t="s">
        <v>510</v>
      </c>
      <c r="AL25" s="3" t="s">
        <v>511</v>
      </c>
    </row>
    <row r="26" spans="4:38" ht="14.4" customHeight="1" x14ac:dyDescent="0.3">
      <c r="D26" s="504"/>
      <c r="E26" s="504"/>
      <c r="F26" s="504"/>
      <c r="G26" s="504"/>
      <c r="H26" s="256"/>
      <c r="I26" s="271"/>
      <c r="J26" s="270"/>
      <c r="K26" s="3" t="s">
        <v>101</v>
      </c>
      <c r="L26" s="3" t="s">
        <v>388</v>
      </c>
      <c r="M26" s="271"/>
      <c r="N26" s="3" t="s">
        <v>76</v>
      </c>
      <c r="O26" s="3" t="s">
        <v>423</v>
      </c>
      <c r="P26" s="3" t="e">
        <f t="shared" si="0"/>
        <v>#VALUE!</v>
      </c>
      <c r="Q26" s="270"/>
      <c r="R26" s="270"/>
      <c r="S26" s="270"/>
      <c r="T26" s="270"/>
      <c r="U26" s="270"/>
      <c r="V26" s="270"/>
      <c r="W26" s="270"/>
      <c r="X26" s="270"/>
      <c r="Y26" s="3" t="s">
        <v>150</v>
      </c>
      <c r="Z26" s="3" t="s">
        <v>150</v>
      </c>
      <c r="AA26" s="3" t="s">
        <v>150</v>
      </c>
      <c r="AB26" s="3" t="s">
        <v>150</v>
      </c>
      <c r="AC26" s="3" t="s">
        <v>150</v>
      </c>
      <c r="AD26" s="3" t="s">
        <v>150</v>
      </c>
      <c r="AE26" s="271"/>
      <c r="AF26" s="271"/>
      <c r="AG26" s="4" t="s">
        <v>512</v>
      </c>
      <c r="AH26" s="3" t="s">
        <v>451</v>
      </c>
      <c r="AI26" s="3" t="s">
        <v>513</v>
      </c>
      <c r="AJ26" s="3"/>
      <c r="AK26" s="3" t="s">
        <v>514</v>
      </c>
      <c r="AL26" s="3" t="s">
        <v>515</v>
      </c>
    </row>
    <row r="27" spans="4:38" ht="14.4" customHeight="1" x14ac:dyDescent="0.3">
      <c r="D27" s="504"/>
      <c r="E27" s="504"/>
      <c r="F27" s="504"/>
      <c r="G27" s="504"/>
      <c r="H27" s="256"/>
      <c r="I27" s="271"/>
      <c r="J27" s="270"/>
      <c r="K27" s="3" t="s">
        <v>103</v>
      </c>
      <c r="L27" s="3" t="s">
        <v>389</v>
      </c>
      <c r="M27" s="271"/>
      <c r="N27" s="3" t="s">
        <v>76</v>
      </c>
      <c r="O27" s="3" t="s">
        <v>93</v>
      </c>
      <c r="P27" s="3" t="e">
        <f t="shared" si="0"/>
        <v>#VALUE!</v>
      </c>
      <c r="Q27" s="270"/>
      <c r="R27" s="270"/>
      <c r="S27" s="270"/>
      <c r="T27" s="270"/>
      <c r="U27" s="270"/>
      <c r="V27" s="270"/>
      <c r="W27" s="270"/>
      <c r="X27" s="270"/>
      <c r="Y27" s="3" t="s">
        <v>150</v>
      </c>
      <c r="Z27" s="3" t="s">
        <v>150</v>
      </c>
      <c r="AA27" s="3" t="s">
        <v>150</v>
      </c>
      <c r="AB27" s="3" t="s">
        <v>150</v>
      </c>
      <c r="AC27" s="3" t="s">
        <v>150</v>
      </c>
      <c r="AD27" s="3" t="s">
        <v>150</v>
      </c>
      <c r="AE27" s="271"/>
      <c r="AF27" s="271"/>
      <c r="AG27" s="4" t="s">
        <v>516</v>
      </c>
      <c r="AH27" s="3" t="s">
        <v>473</v>
      </c>
      <c r="AI27" s="3" t="s">
        <v>473</v>
      </c>
      <c r="AJ27" s="3"/>
      <c r="AK27" s="3" t="s">
        <v>517</v>
      </c>
      <c r="AL27" s="3" t="s">
        <v>518</v>
      </c>
    </row>
    <row r="28" spans="4:38" ht="14.4" customHeight="1" x14ac:dyDescent="0.3">
      <c r="D28" s="504"/>
      <c r="E28" s="504"/>
      <c r="F28" s="504"/>
      <c r="G28" s="504"/>
      <c r="H28" s="256"/>
      <c r="I28" s="271"/>
      <c r="J28" s="270"/>
      <c r="K28" s="3" t="s">
        <v>105</v>
      </c>
      <c r="L28" s="3" t="s">
        <v>390</v>
      </c>
      <c r="M28" s="271"/>
      <c r="N28" s="3" t="s">
        <v>76</v>
      </c>
      <c r="O28" s="3" t="s">
        <v>93</v>
      </c>
      <c r="P28" s="3" t="e">
        <f t="shared" si="0"/>
        <v>#VALUE!</v>
      </c>
      <c r="Q28" s="270"/>
      <c r="R28" s="270"/>
      <c r="S28" s="270"/>
      <c r="T28" s="270"/>
      <c r="U28" s="270"/>
      <c r="V28" s="270"/>
      <c r="W28" s="270"/>
      <c r="X28" s="270"/>
      <c r="Y28" s="3" t="s">
        <v>150</v>
      </c>
      <c r="Z28" s="3" t="s">
        <v>150</v>
      </c>
      <c r="AA28" s="3" t="s">
        <v>150</v>
      </c>
      <c r="AB28" s="3" t="s">
        <v>150</v>
      </c>
      <c r="AC28" s="3" t="s">
        <v>150</v>
      </c>
      <c r="AD28" s="3" t="s">
        <v>150</v>
      </c>
      <c r="AE28" s="271"/>
      <c r="AF28" s="271"/>
      <c r="AG28" s="4" t="s">
        <v>519</v>
      </c>
      <c r="AH28" s="3" t="s">
        <v>520</v>
      </c>
      <c r="AI28" s="3" t="s">
        <v>521</v>
      </c>
      <c r="AJ28" s="3"/>
      <c r="AK28" s="3" t="s">
        <v>522</v>
      </c>
      <c r="AL28" s="3" t="s">
        <v>523</v>
      </c>
    </row>
    <row r="29" spans="4:38" ht="14.4" customHeight="1" x14ac:dyDescent="0.3">
      <c r="D29" s="504"/>
      <c r="E29" s="504"/>
      <c r="F29" s="504"/>
      <c r="G29" s="504"/>
      <c r="H29" s="256"/>
      <c r="I29" s="271"/>
      <c r="J29" s="270"/>
      <c r="K29" s="3" t="s">
        <v>107</v>
      </c>
      <c r="L29" s="3" t="s">
        <v>391</v>
      </c>
      <c r="M29" s="271"/>
      <c r="N29" s="3" t="s">
        <v>76</v>
      </c>
      <c r="O29" s="3" t="s">
        <v>93</v>
      </c>
      <c r="P29" s="3" t="e">
        <f t="shared" si="0"/>
        <v>#VALUE!</v>
      </c>
      <c r="Q29" s="270" t="s">
        <v>1032</v>
      </c>
      <c r="R29" s="270"/>
      <c r="S29" s="270"/>
      <c r="T29" s="270" t="s">
        <v>999</v>
      </c>
      <c r="U29" s="270"/>
      <c r="V29" s="270"/>
      <c r="W29" s="270"/>
      <c r="X29" s="270"/>
      <c r="Y29" s="3" t="s">
        <v>150</v>
      </c>
      <c r="Z29" s="3" t="s">
        <v>150</v>
      </c>
      <c r="AA29" s="3" t="s">
        <v>150</v>
      </c>
      <c r="AB29" s="3" t="s">
        <v>150</v>
      </c>
      <c r="AC29" s="3" t="s">
        <v>150</v>
      </c>
      <c r="AD29" s="3" t="s">
        <v>150</v>
      </c>
      <c r="AE29" s="271"/>
      <c r="AF29" s="271"/>
      <c r="AG29" s="4" t="s">
        <v>524</v>
      </c>
      <c r="AH29" s="3" t="s">
        <v>473</v>
      </c>
      <c r="AI29" s="3" t="s">
        <v>473</v>
      </c>
      <c r="AJ29" s="3"/>
      <c r="AK29" s="3" t="s">
        <v>525</v>
      </c>
      <c r="AL29" s="3" t="s">
        <v>526</v>
      </c>
    </row>
    <row r="30" spans="4:38" ht="14.4" customHeight="1" x14ac:dyDescent="0.3">
      <c r="D30" s="504"/>
      <c r="E30" s="504"/>
      <c r="F30" s="504"/>
      <c r="G30" s="504"/>
      <c r="H30" s="256"/>
      <c r="I30" s="271"/>
      <c r="J30" s="270"/>
      <c r="K30" s="3" t="s">
        <v>151</v>
      </c>
      <c r="L30" s="3" t="s">
        <v>392</v>
      </c>
      <c r="M30" s="271"/>
      <c r="N30" s="3" t="s">
        <v>393</v>
      </c>
      <c r="O30" s="3" t="s">
        <v>93</v>
      </c>
      <c r="P30" s="3" t="e">
        <f t="shared" si="0"/>
        <v>#VALUE!</v>
      </c>
      <c r="Q30" s="270"/>
      <c r="R30" s="270"/>
      <c r="S30" s="270"/>
      <c r="T30" s="270"/>
      <c r="U30" s="270"/>
      <c r="V30" s="270"/>
      <c r="W30" s="270"/>
      <c r="X30" s="270"/>
      <c r="Y30" s="3" t="s">
        <v>150</v>
      </c>
      <c r="Z30" s="3" t="s">
        <v>150</v>
      </c>
      <c r="AA30" s="3" t="s">
        <v>150</v>
      </c>
      <c r="AB30" s="3" t="s">
        <v>150</v>
      </c>
      <c r="AC30" s="3" t="s">
        <v>150</v>
      </c>
      <c r="AD30" s="3" t="s">
        <v>150</v>
      </c>
      <c r="AE30" s="271"/>
      <c r="AF30" s="271"/>
      <c r="AG30" s="4" t="s">
        <v>527</v>
      </c>
      <c r="AH30" s="3" t="s">
        <v>473</v>
      </c>
      <c r="AI30" s="3" t="s">
        <v>473</v>
      </c>
      <c r="AJ30" s="3"/>
      <c r="AK30" s="3" t="s">
        <v>528</v>
      </c>
      <c r="AL30" s="3" t="s">
        <v>529</v>
      </c>
    </row>
    <row r="31" spans="4:38" ht="14.4" customHeight="1" x14ac:dyDescent="0.3">
      <c r="D31" s="504"/>
      <c r="E31" s="504"/>
      <c r="F31" s="504"/>
      <c r="G31" s="504"/>
      <c r="H31" s="256"/>
      <c r="I31" s="271"/>
      <c r="J31" s="270"/>
      <c r="K31" s="3" t="s">
        <v>364</v>
      </c>
      <c r="L31" s="3" t="s">
        <v>394</v>
      </c>
      <c r="M31" s="271"/>
      <c r="N31" s="3" t="s">
        <v>76</v>
      </c>
      <c r="O31" s="3" t="s">
        <v>93</v>
      </c>
      <c r="P31" s="3" t="e">
        <f t="shared" si="0"/>
        <v>#VALUE!</v>
      </c>
      <c r="Q31" s="270"/>
      <c r="R31" s="270"/>
      <c r="S31" s="270"/>
      <c r="T31" s="270"/>
      <c r="U31" s="270"/>
      <c r="V31" s="270"/>
      <c r="W31" s="270"/>
      <c r="X31" s="270"/>
      <c r="Y31" s="3" t="s">
        <v>150</v>
      </c>
      <c r="Z31" s="3" t="s">
        <v>150</v>
      </c>
      <c r="AA31" s="3" t="s">
        <v>150</v>
      </c>
      <c r="AB31" s="3" t="s">
        <v>150</v>
      </c>
      <c r="AC31" s="3" t="s">
        <v>150</v>
      </c>
      <c r="AD31" s="3" t="s">
        <v>150</v>
      </c>
      <c r="AE31" s="271"/>
      <c r="AF31" s="271"/>
      <c r="AG31" s="4" t="s">
        <v>508</v>
      </c>
      <c r="AH31" s="3" t="s">
        <v>473</v>
      </c>
      <c r="AI31" s="3" t="s">
        <v>473</v>
      </c>
      <c r="AJ31" s="3"/>
      <c r="AK31" s="3" t="s">
        <v>473</v>
      </c>
      <c r="AL31" s="3" t="s">
        <v>473</v>
      </c>
    </row>
    <row r="32" spans="4:38" ht="14.4" customHeight="1" x14ac:dyDescent="0.3">
      <c r="D32" s="504"/>
      <c r="E32" s="504"/>
      <c r="F32" s="504"/>
      <c r="G32" s="504"/>
      <c r="H32" s="256"/>
      <c r="I32" s="271"/>
      <c r="J32" s="270"/>
      <c r="K32" s="3" t="s">
        <v>113</v>
      </c>
      <c r="L32" s="3" t="s">
        <v>395</v>
      </c>
      <c r="M32" s="271"/>
      <c r="N32" s="3" t="s">
        <v>76</v>
      </c>
      <c r="O32" s="3" t="s">
        <v>93</v>
      </c>
      <c r="P32" s="3" t="e">
        <f t="shared" si="0"/>
        <v>#VALUE!</v>
      </c>
      <c r="Q32" s="270"/>
      <c r="R32" s="270"/>
      <c r="S32" s="270"/>
      <c r="T32" s="270"/>
      <c r="U32" s="270"/>
      <c r="V32" s="270"/>
      <c r="W32" s="270"/>
      <c r="X32" s="270"/>
      <c r="Y32" s="3" t="s">
        <v>150</v>
      </c>
      <c r="Z32" s="3" t="s">
        <v>150</v>
      </c>
      <c r="AA32" s="3" t="s">
        <v>150</v>
      </c>
      <c r="AB32" s="3" t="s">
        <v>150</v>
      </c>
      <c r="AC32" s="3" t="s">
        <v>150</v>
      </c>
      <c r="AD32" s="3" t="s">
        <v>150</v>
      </c>
      <c r="AE32" s="271"/>
      <c r="AF32" s="271"/>
      <c r="AG32" s="4" t="s">
        <v>530</v>
      </c>
      <c r="AH32" s="3" t="s">
        <v>473</v>
      </c>
      <c r="AI32" s="3" t="s">
        <v>473</v>
      </c>
      <c r="AJ32" s="3"/>
      <c r="AK32" s="3" t="s">
        <v>531</v>
      </c>
      <c r="AL32" s="3" t="s">
        <v>532</v>
      </c>
    </row>
    <row r="33" spans="4:38" ht="14.4" customHeight="1" x14ac:dyDescent="0.3">
      <c r="D33" s="504"/>
      <c r="E33" s="504"/>
      <c r="F33" s="504"/>
      <c r="G33" s="504"/>
      <c r="H33" s="256"/>
      <c r="I33" s="271"/>
      <c r="J33" s="270"/>
      <c r="K33" s="3" t="s">
        <v>115</v>
      </c>
      <c r="L33" s="3" t="s">
        <v>160</v>
      </c>
      <c r="M33" s="271"/>
      <c r="N33" s="3" t="s">
        <v>76</v>
      </c>
      <c r="O33" s="3" t="s">
        <v>423</v>
      </c>
      <c r="P33" s="3" t="e">
        <f t="shared" si="0"/>
        <v>#VALUE!</v>
      </c>
      <c r="Q33" s="270"/>
      <c r="R33" s="270"/>
      <c r="S33" s="270"/>
      <c r="T33" s="270"/>
      <c r="U33" s="270"/>
      <c r="V33" s="270"/>
      <c r="W33" s="270"/>
      <c r="X33" s="270"/>
      <c r="Y33" s="3" t="s">
        <v>150</v>
      </c>
      <c r="Z33" s="3" t="s">
        <v>150</v>
      </c>
      <c r="AA33" s="3" t="s">
        <v>150</v>
      </c>
      <c r="AB33" s="3" t="s">
        <v>150</v>
      </c>
      <c r="AC33" s="3" t="s">
        <v>150</v>
      </c>
      <c r="AD33" s="3" t="s">
        <v>150</v>
      </c>
      <c r="AE33" s="271"/>
      <c r="AF33" s="271"/>
      <c r="AG33" s="4" t="s">
        <v>533</v>
      </c>
      <c r="AH33" s="3" t="s">
        <v>534</v>
      </c>
      <c r="AI33" s="3" t="s">
        <v>535</v>
      </c>
      <c r="AJ33" s="3"/>
      <c r="AK33" s="3" t="s">
        <v>536</v>
      </c>
      <c r="AL33" s="3" t="s">
        <v>537</v>
      </c>
    </row>
    <row r="34" spans="4:38" ht="14.4" customHeight="1" x14ac:dyDescent="0.3">
      <c r="D34" s="504"/>
      <c r="E34" s="504"/>
      <c r="F34" s="504"/>
      <c r="G34" s="504"/>
      <c r="H34" s="256"/>
      <c r="I34" s="271"/>
      <c r="J34" s="270"/>
      <c r="K34" s="3" t="s">
        <v>117</v>
      </c>
      <c r="L34" s="3" t="s">
        <v>396</v>
      </c>
      <c r="M34" s="271"/>
      <c r="N34" s="3" t="s">
        <v>76</v>
      </c>
      <c r="O34" s="3" t="s">
        <v>423</v>
      </c>
      <c r="P34" s="3" t="e">
        <f t="shared" si="0"/>
        <v>#VALUE!</v>
      </c>
      <c r="Q34" s="270"/>
      <c r="R34" s="270"/>
      <c r="S34" s="270"/>
      <c r="T34" s="270"/>
      <c r="U34" s="270"/>
      <c r="V34" s="270"/>
      <c r="W34" s="270"/>
      <c r="X34" s="270"/>
      <c r="Y34" s="3"/>
      <c r="Z34" s="3" t="s">
        <v>431</v>
      </c>
      <c r="AA34" s="3" t="s">
        <v>150</v>
      </c>
      <c r="AB34" s="3" t="s">
        <v>430</v>
      </c>
      <c r="AC34" s="3" t="s">
        <v>150</v>
      </c>
      <c r="AD34" s="3" t="s">
        <v>147</v>
      </c>
      <c r="AE34" s="271"/>
      <c r="AF34" s="271"/>
      <c r="AG34" s="4" t="s">
        <v>538</v>
      </c>
      <c r="AH34" s="3" t="s">
        <v>539</v>
      </c>
      <c r="AI34" s="3" t="s">
        <v>540</v>
      </c>
      <c r="AJ34" s="3"/>
      <c r="AK34" s="3" t="s">
        <v>541</v>
      </c>
      <c r="AL34" s="3" t="s">
        <v>542</v>
      </c>
    </row>
    <row r="35" spans="4:38" ht="14.4" customHeight="1" x14ac:dyDescent="0.3">
      <c r="D35" s="504"/>
      <c r="E35" s="504"/>
      <c r="F35" s="504"/>
      <c r="G35" s="504"/>
      <c r="H35" s="256"/>
      <c r="I35" s="271"/>
      <c r="J35" s="270"/>
      <c r="K35" s="3" t="s">
        <v>119</v>
      </c>
      <c r="L35" s="3" t="s">
        <v>397</v>
      </c>
      <c r="M35" s="271"/>
      <c r="N35" s="3" t="s">
        <v>76</v>
      </c>
      <c r="O35" s="3" t="s">
        <v>423</v>
      </c>
      <c r="P35" s="3" t="e">
        <f t="shared" si="0"/>
        <v>#VALUE!</v>
      </c>
      <c r="Q35" s="270"/>
      <c r="R35" s="270"/>
      <c r="S35" s="270"/>
      <c r="T35" s="270"/>
      <c r="U35" s="270"/>
      <c r="V35" s="270"/>
      <c r="W35" s="270"/>
      <c r="X35" s="270"/>
      <c r="Y35" s="3" t="s">
        <v>150</v>
      </c>
      <c r="Z35" s="3" t="s">
        <v>150</v>
      </c>
      <c r="AA35" s="3" t="s">
        <v>150</v>
      </c>
      <c r="AB35" s="3" t="s">
        <v>150</v>
      </c>
      <c r="AC35" s="3" t="s">
        <v>150</v>
      </c>
      <c r="AD35" s="3" t="s">
        <v>150</v>
      </c>
      <c r="AE35" s="271"/>
      <c r="AF35" s="271"/>
      <c r="AG35" s="4" t="s">
        <v>543</v>
      </c>
      <c r="AH35" s="3" t="s">
        <v>544</v>
      </c>
      <c r="AI35" s="3" t="s">
        <v>517</v>
      </c>
      <c r="AJ35" s="3"/>
      <c r="AK35" s="3" t="s">
        <v>300</v>
      </c>
      <c r="AL35" s="3" t="s">
        <v>545</v>
      </c>
    </row>
    <row r="36" spans="4:38" ht="14.4" customHeight="1" x14ac:dyDescent="0.3">
      <c r="D36" s="504"/>
      <c r="E36" s="504"/>
      <c r="F36" s="504"/>
      <c r="G36" s="504"/>
      <c r="H36" s="256"/>
      <c r="I36" s="271"/>
      <c r="J36" s="270"/>
      <c r="K36" s="3" t="s">
        <v>365</v>
      </c>
      <c r="L36" s="3" t="s">
        <v>398</v>
      </c>
      <c r="M36" s="271"/>
      <c r="N36" s="3" t="s">
        <v>393</v>
      </c>
      <c r="O36" s="3" t="s">
        <v>90</v>
      </c>
      <c r="P36" s="3" t="e">
        <f t="shared" si="0"/>
        <v>#VALUE!</v>
      </c>
      <c r="Q36" s="270"/>
      <c r="R36" s="270"/>
      <c r="S36" s="270"/>
      <c r="T36" s="270"/>
      <c r="U36" s="270"/>
      <c r="V36" s="270"/>
      <c r="W36" s="270"/>
      <c r="X36" s="270"/>
      <c r="Y36" s="3" t="s">
        <v>150</v>
      </c>
      <c r="Z36" s="3" t="s">
        <v>434</v>
      </c>
      <c r="AA36" s="3" t="s">
        <v>150</v>
      </c>
      <c r="AB36" s="3" t="s">
        <v>433</v>
      </c>
      <c r="AC36" s="3" t="s">
        <v>150</v>
      </c>
      <c r="AD36" s="3" t="s">
        <v>432</v>
      </c>
      <c r="AE36" s="271"/>
      <c r="AF36" s="271"/>
      <c r="AG36" s="4" t="s">
        <v>213</v>
      </c>
      <c r="AH36" s="3" t="s">
        <v>546</v>
      </c>
      <c r="AI36" s="3" t="s">
        <v>546</v>
      </c>
      <c r="AJ36" s="3"/>
      <c r="AK36" s="3" t="s">
        <v>427</v>
      </c>
      <c r="AL36" s="3" t="s">
        <v>547</v>
      </c>
    </row>
    <row r="37" spans="4:38" ht="14.4" customHeight="1" x14ac:dyDescent="0.3">
      <c r="D37" s="504"/>
      <c r="E37" s="504"/>
      <c r="F37" s="504"/>
      <c r="G37" s="504"/>
      <c r="H37" s="256"/>
      <c r="I37" s="271"/>
      <c r="J37" s="270"/>
      <c r="K37" s="3" t="s">
        <v>123</v>
      </c>
      <c r="L37" s="3" t="s">
        <v>399</v>
      </c>
      <c r="M37" s="271"/>
      <c r="N37" s="3" t="s">
        <v>76</v>
      </c>
      <c r="O37" s="3" t="s">
        <v>424</v>
      </c>
      <c r="P37" s="3">
        <f t="shared" si="0"/>
        <v>6.2</v>
      </c>
      <c r="Q37" s="270"/>
      <c r="R37" s="270"/>
      <c r="S37" s="270"/>
      <c r="T37" s="270"/>
      <c r="U37" s="270"/>
      <c r="V37" s="270"/>
      <c r="W37" s="270"/>
      <c r="X37" s="270"/>
      <c r="Y37" s="3" t="s">
        <v>150</v>
      </c>
      <c r="Z37" s="3" t="s">
        <v>150</v>
      </c>
      <c r="AA37" s="3" t="s">
        <v>150</v>
      </c>
      <c r="AB37" s="3" t="s">
        <v>150</v>
      </c>
      <c r="AC37" s="3" t="s">
        <v>150</v>
      </c>
      <c r="AD37" s="3" t="s">
        <v>150</v>
      </c>
      <c r="AE37" s="271"/>
      <c r="AF37" s="271"/>
      <c r="AG37" s="3" t="s">
        <v>150</v>
      </c>
      <c r="AH37" s="3" t="s">
        <v>150</v>
      </c>
      <c r="AI37" s="3" t="s">
        <v>150</v>
      </c>
      <c r="AJ37" s="3"/>
      <c r="AK37" s="3" t="s">
        <v>150</v>
      </c>
      <c r="AL37" s="3" t="s">
        <v>150</v>
      </c>
    </row>
    <row r="38" spans="4:38" ht="14.4" customHeight="1" x14ac:dyDescent="0.3">
      <c r="D38" s="504"/>
      <c r="E38" s="504"/>
      <c r="F38" s="504"/>
      <c r="G38" s="504"/>
      <c r="H38" s="256"/>
      <c r="I38" s="271"/>
      <c r="J38" s="270"/>
      <c r="K38" s="3" t="s">
        <v>366</v>
      </c>
      <c r="L38" s="3" t="s">
        <v>399</v>
      </c>
      <c r="M38" s="271"/>
      <c r="N38" s="187" t="s">
        <v>400</v>
      </c>
      <c r="O38" s="3"/>
      <c r="P38" s="3"/>
      <c r="Q38" s="270"/>
      <c r="R38" s="270"/>
      <c r="S38" s="270"/>
      <c r="T38" s="270"/>
      <c r="U38" s="270"/>
      <c r="V38" s="270"/>
      <c r="W38" s="270"/>
      <c r="X38" s="270"/>
      <c r="Y38" s="3" t="s">
        <v>150</v>
      </c>
      <c r="Z38" s="3" t="s">
        <v>437</v>
      </c>
      <c r="AA38" s="3" t="s">
        <v>150</v>
      </c>
      <c r="AB38" s="3" t="s">
        <v>436</v>
      </c>
      <c r="AC38" s="3" t="s">
        <v>150</v>
      </c>
      <c r="AD38" s="3" t="s">
        <v>1238</v>
      </c>
      <c r="AE38" s="271"/>
      <c r="AF38" s="271"/>
      <c r="AG38" s="4" t="s">
        <v>548</v>
      </c>
      <c r="AH38" s="3" t="s">
        <v>150</v>
      </c>
      <c r="AI38" s="3" t="s">
        <v>150</v>
      </c>
      <c r="AJ38" s="3"/>
      <c r="AK38" s="3" t="s">
        <v>150</v>
      </c>
      <c r="AL38" s="3" t="s">
        <v>150</v>
      </c>
    </row>
    <row r="39" spans="4:38" ht="14.4" customHeight="1" x14ac:dyDescent="0.3">
      <c r="D39" s="504"/>
      <c r="E39" s="504"/>
      <c r="F39" s="504"/>
      <c r="G39" s="504"/>
      <c r="H39" s="256"/>
      <c r="I39" s="271"/>
      <c r="J39" s="270"/>
      <c r="K39" s="3" t="s">
        <v>127</v>
      </c>
      <c r="L39" s="3" t="s">
        <v>401</v>
      </c>
      <c r="M39" s="271"/>
      <c r="N39" s="3" t="s">
        <v>76</v>
      </c>
      <c r="O39" s="3" t="s">
        <v>425</v>
      </c>
      <c r="P39" s="3">
        <f t="shared" si="0"/>
        <v>33.22</v>
      </c>
      <c r="Q39" s="270"/>
      <c r="R39" s="270"/>
      <c r="S39" s="270"/>
      <c r="T39" s="270"/>
      <c r="U39" s="270"/>
      <c r="V39" s="270"/>
      <c r="W39" s="270"/>
      <c r="X39" s="270"/>
      <c r="Y39" s="3" t="s">
        <v>150</v>
      </c>
      <c r="Z39" s="3" t="s">
        <v>150</v>
      </c>
      <c r="AA39" s="3" t="s">
        <v>150</v>
      </c>
      <c r="AB39" s="3" t="s">
        <v>150</v>
      </c>
      <c r="AC39" s="3" t="s">
        <v>150</v>
      </c>
      <c r="AD39" s="3" t="s">
        <v>150</v>
      </c>
      <c r="AE39" s="271"/>
      <c r="AF39" s="271"/>
      <c r="AG39" s="3" t="s">
        <v>150</v>
      </c>
      <c r="AH39" s="3" t="s">
        <v>150</v>
      </c>
      <c r="AI39" s="3" t="s">
        <v>150</v>
      </c>
      <c r="AJ39" s="3"/>
      <c r="AK39" s="3" t="s">
        <v>150</v>
      </c>
      <c r="AL39" s="3" t="s">
        <v>150</v>
      </c>
    </row>
    <row r="40" spans="4:38" ht="14.4" customHeight="1" x14ac:dyDescent="0.3">
      <c r="D40" s="504"/>
      <c r="E40" s="504"/>
      <c r="F40" s="504"/>
      <c r="G40" s="504"/>
      <c r="H40" s="256"/>
      <c r="I40" s="271"/>
      <c r="J40" s="270"/>
      <c r="K40" s="3" t="s">
        <v>128</v>
      </c>
      <c r="L40" s="3" t="s">
        <v>402</v>
      </c>
      <c r="M40" s="271"/>
      <c r="N40" s="187" t="s">
        <v>403</v>
      </c>
      <c r="O40" s="3"/>
      <c r="P40" s="3"/>
      <c r="Q40" s="270"/>
      <c r="R40" s="270"/>
      <c r="S40" s="270"/>
      <c r="T40" s="270"/>
      <c r="U40" s="270"/>
      <c r="V40" s="270"/>
      <c r="W40" s="270"/>
      <c r="X40" s="270"/>
      <c r="Y40" s="3" t="s">
        <v>150</v>
      </c>
      <c r="Z40" s="3" t="s">
        <v>150</v>
      </c>
      <c r="AA40" s="3" t="s">
        <v>150</v>
      </c>
      <c r="AB40" s="3" t="s">
        <v>150</v>
      </c>
      <c r="AC40" s="3" t="s">
        <v>150</v>
      </c>
      <c r="AD40" s="3" t="s">
        <v>150</v>
      </c>
      <c r="AE40" s="271"/>
      <c r="AF40" s="271"/>
      <c r="AG40" s="3" t="s">
        <v>549</v>
      </c>
      <c r="AH40" s="3" t="s">
        <v>150</v>
      </c>
      <c r="AI40" s="3" t="s">
        <v>150</v>
      </c>
      <c r="AJ40" s="3"/>
      <c r="AK40" s="3" t="s">
        <v>150</v>
      </c>
      <c r="AL40" s="3" t="s">
        <v>150</v>
      </c>
    </row>
    <row r="41" spans="4:38" ht="14.4" customHeight="1" x14ac:dyDescent="0.3">
      <c r="D41" s="504"/>
      <c r="E41" s="504"/>
      <c r="F41" s="504"/>
      <c r="G41" s="504"/>
      <c r="H41" s="256"/>
      <c r="I41" s="271"/>
      <c r="J41" s="270"/>
      <c r="K41" s="3" t="s">
        <v>130</v>
      </c>
      <c r="L41" s="3" t="s">
        <v>404</v>
      </c>
      <c r="M41" s="271"/>
      <c r="N41" s="187" t="s">
        <v>405</v>
      </c>
      <c r="O41" s="3"/>
      <c r="P41" s="3"/>
      <c r="Q41" s="270"/>
      <c r="R41" s="270"/>
      <c r="S41" s="270"/>
      <c r="T41" s="270"/>
      <c r="U41" s="270"/>
      <c r="V41" s="270"/>
      <c r="W41" s="270"/>
      <c r="X41" s="270"/>
      <c r="Y41" s="3" t="s">
        <v>150</v>
      </c>
      <c r="Z41" s="3" t="s">
        <v>150</v>
      </c>
      <c r="AA41" s="3" t="s">
        <v>150</v>
      </c>
      <c r="AB41" s="3" t="s">
        <v>150</v>
      </c>
      <c r="AC41" s="3" t="s">
        <v>150</v>
      </c>
      <c r="AD41" s="3" t="s">
        <v>150</v>
      </c>
      <c r="AE41" s="271"/>
      <c r="AF41" s="271"/>
      <c r="AG41" s="3" t="s">
        <v>550</v>
      </c>
      <c r="AH41" s="3" t="s">
        <v>150</v>
      </c>
      <c r="AI41" s="3" t="s">
        <v>150</v>
      </c>
      <c r="AJ41" s="3"/>
      <c r="AK41" s="3" t="s">
        <v>150</v>
      </c>
      <c r="AL41" s="3" t="s">
        <v>150</v>
      </c>
    </row>
    <row r="42" spans="4:38" ht="14.4" customHeight="1" x14ac:dyDescent="0.3">
      <c r="D42" s="504"/>
      <c r="E42" s="504"/>
      <c r="F42" s="504"/>
      <c r="G42" s="504"/>
      <c r="H42" s="256"/>
      <c r="I42" s="271"/>
      <c r="J42" s="270"/>
      <c r="K42" s="3" t="s">
        <v>132</v>
      </c>
      <c r="L42" s="3" t="s">
        <v>406</v>
      </c>
      <c r="M42" s="271"/>
      <c r="N42" s="187" t="s">
        <v>407</v>
      </c>
      <c r="O42" s="3"/>
      <c r="P42" s="3"/>
      <c r="Q42" s="270"/>
      <c r="R42" s="270"/>
      <c r="S42" s="270"/>
      <c r="T42" s="270"/>
      <c r="U42" s="270"/>
      <c r="V42" s="270"/>
      <c r="W42" s="270"/>
      <c r="X42" s="270"/>
      <c r="Y42" s="3" t="s">
        <v>150</v>
      </c>
      <c r="Z42" s="3" t="s">
        <v>150</v>
      </c>
      <c r="AA42" s="3" t="s">
        <v>150</v>
      </c>
      <c r="AB42" s="3" t="s">
        <v>150</v>
      </c>
      <c r="AC42" s="3" t="s">
        <v>150</v>
      </c>
      <c r="AD42" s="3" t="s">
        <v>150</v>
      </c>
      <c r="AE42" s="271"/>
      <c r="AF42" s="271"/>
      <c r="AG42" s="3" t="s">
        <v>551</v>
      </c>
      <c r="AH42" s="3" t="s">
        <v>150</v>
      </c>
      <c r="AI42" s="3" t="s">
        <v>150</v>
      </c>
      <c r="AJ42" s="3"/>
      <c r="AK42" s="3" t="s">
        <v>150</v>
      </c>
      <c r="AL42" s="3" t="s">
        <v>150</v>
      </c>
    </row>
    <row r="43" spans="4:38" ht="14.4" customHeight="1" x14ac:dyDescent="0.3">
      <c r="D43" s="504"/>
      <c r="E43" s="504"/>
      <c r="F43" s="504"/>
      <c r="G43" s="504"/>
      <c r="H43" s="256"/>
      <c r="I43" s="271"/>
      <c r="J43" s="270"/>
      <c r="K43" s="3" t="s">
        <v>367</v>
      </c>
      <c r="L43" s="3" t="s">
        <v>408</v>
      </c>
      <c r="M43" s="271"/>
      <c r="N43" s="3" t="s">
        <v>76</v>
      </c>
      <c r="O43" s="3" t="s">
        <v>426</v>
      </c>
      <c r="P43" s="3" t="e">
        <f t="shared" si="0"/>
        <v>#VALUE!</v>
      </c>
      <c r="Q43" s="270"/>
      <c r="R43" s="270"/>
      <c r="S43" s="270"/>
      <c r="T43" s="270"/>
      <c r="U43" s="270"/>
      <c r="V43" s="270"/>
      <c r="W43" s="270"/>
      <c r="X43" s="270"/>
      <c r="Y43" s="3" t="s">
        <v>150</v>
      </c>
      <c r="Z43" s="3" t="s">
        <v>150</v>
      </c>
      <c r="AA43" s="3" t="s">
        <v>150</v>
      </c>
      <c r="AB43" s="3" t="s">
        <v>150</v>
      </c>
      <c r="AC43" s="3" t="s">
        <v>150</v>
      </c>
      <c r="AD43" s="3" t="s">
        <v>150</v>
      </c>
      <c r="AE43" s="271"/>
      <c r="AF43" s="271"/>
      <c r="AG43" s="3" t="s">
        <v>150</v>
      </c>
      <c r="AH43" s="3" t="s">
        <v>150</v>
      </c>
      <c r="AI43" s="3" t="s">
        <v>150</v>
      </c>
      <c r="AJ43" s="3"/>
      <c r="AK43" s="3" t="s">
        <v>150</v>
      </c>
      <c r="AL43" s="3" t="s">
        <v>150</v>
      </c>
    </row>
    <row r="44" spans="4:38" ht="14.4" customHeight="1" x14ac:dyDescent="0.3">
      <c r="D44" s="504"/>
      <c r="E44" s="504"/>
      <c r="F44" s="504"/>
      <c r="G44" s="504"/>
      <c r="H44" s="256"/>
      <c r="I44" s="271"/>
      <c r="J44" s="270"/>
      <c r="K44" s="3" t="s">
        <v>1248</v>
      </c>
      <c r="L44" s="3" t="s">
        <v>409</v>
      </c>
      <c r="M44" s="271"/>
      <c r="N44" s="187" t="s">
        <v>410</v>
      </c>
      <c r="O44" s="3"/>
      <c r="P44" s="3"/>
      <c r="Q44" s="270"/>
      <c r="R44" s="270"/>
      <c r="S44" s="270"/>
      <c r="T44" s="270"/>
      <c r="U44" s="270"/>
      <c r="V44" s="270"/>
      <c r="W44" s="270"/>
      <c r="X44" s="270"/>
      <c r="Y44" s="3" t="s">
        <v>150</v>
      </c>
      <c r="Z44" s="3" t="s">
        <v>150</v>
      </c>
      <c r="AA44" s="3" t="s">
        <v>150</v>
      </c>
      <c r="AB44" s="3" t="s">
        <v>150</v>
      </c>
      <c r="AC44" s="3" t="s">
        <v>150</v>
      </c>
      <c r="AD44" s="3" t="s">
        <v>150</v>
      </c>
      <c r="AE44" s="271"/>
      <c r="AF44" s="271"/>
      <c r="AG44" s="3" t="s">
        <v>552</v>
      </c>
      <c r="AH44" s="3" t="s">
        <v>289</v>
      </c>
      <c r="AI44" s="3" t="s">
        <v>289</v>
      </c>
      <c r="AJ44" s="3"/>
      <c r="AK44" s="3" t="s">
        <v>289</v>
      </c>
      <c r="AL44" s="3" t="s">
        <v>289</v>
      </c>
    </row>
    <row r="45" spans="4:38" ht="14.4" customHeight="1" x14ac:dyDescent="0.3">
      <c r="D45" s="504"/>
      <c r="E45" s="504"/>
      <c r="F45" s="504"/>
      <c r="G45" s="504"/>
      <c r="H45" s="256"/>
      <c r="I45" s="271"/>
      <c r="J45" s="270"/>
      <c r="K45" s="226" t="s">
        <v>823</v>
      </c>
      <c r="L45" s="3" t="s">
        <v>408</v>
      </c>
      <c r="M45" s="271"/>
      <c r="N45" s="187" t="s">
        <v>411</v>
      </c>
      <c r="O45" s="3"/>
      <c r="P45" s="3"/>
      <c r="Q45" s="270"/>
      <c r="R45" s="270"/>
      <c r="S45" s="270"/>
      <c r="T45" s="270"/>
      <c r="U45" s="270"/>
      <c r="V45" s="270"/>
      <c r="W45" s="270"/>
      <c r="X45" s="270"/>
      <c r="Y45" s="3" t="s">
        <v>150</v>
      </c>
      <c r="Z45" s="3" t="s">
        <v>150</v>
      </c>
      <c r="AA45" s="3" t="s">
        <v>150</v>
      </c>
      <c r="AB45" s="3" t="s">
        <v>150</v>
      </c>
      <c r="AC45" s="3" t="s">
        <v>150</v>
      </c>
      <c r="AD45" s="3" t="s">
        <v>150</v>
      </c>
      <c r="AE45" s="271"/>
      <c r="AF45" s="271"/>
      <c r="AG45" s="3" t="s">
        <v>553</v>
      </c>
      <c r="AH45" s="3" t="s">
        <v>289</v>
      </c>
      <c r="AI45" s="3" t="s">
        <v>289</v>
      </c>
      <c r="AJ45" s="3"/>
      <c r="AK45" s="3" t="s">
        <v>289</v>
      </c>
      <c r="AL45" s="3" t="s">
        <v>289</v>
      </c>
    </row>
    <row r="46" spans="4:38" ht="14.4" customHeight="1" x14ac:dyDescent="0.3">
      <c r="D46" s="504"/>
      <c r="E46" s="504"/>
      <c r="F46" s="504"/>
      <c r="G46" s="504"/>
      <c r="H46" s="256"/>
      <c r="I46" s="271"/>
      <c r="J46" s="270"/>
      <c r="K46" s="3" t="s">
        <v>370</v>
      </c>
      <c r="L46" s="3" t="s">
        <v>412</v>
      </c>
      <c r="M46" s="271"/>
      <c r="N46" s="3" t="s">
        <v>413</v>
      </c>
      <c r="O46" s="3" t="s">
        <v>424</v>
      </c>
      <c r="P46" s="3" t="e">
        <f t="shared" si="0"/>
        <v>#VALUE!</v>
      </c>
      <c r="Q46" s="270"/>
      <c r="R46" s="270"/>
      <c r="S46" s="270"/>
      <c r="T46" s="270"/>
      <c r="U46" s="270"/>
      <c r="V46" s="270"/>
      <c r="W46" s="270"/>
      <c r="X46" s="270"/>
      <c r="Y46" s="3" t="s">
        <v>150</v>
      </c>
      <c r="Z46" s="3" t="s">
        <v>150</v>
      </c>
      <c r="AA46" s="3" t="s">
        <v>150</v>
      </c>
      <c r="AB46" s="3" t="s">
        <v>150</v>
      </c>
      <c r="AC46" s="3" t="s">
        <v>150</v>
      </c>
      <c r="AD46" s="3" t="s">
        <v>150</v>
      </c>
      <c r="AE46" s="271"/>
      <c r="AF46" s="271"/>
      <c r="AG46" s="3" t="s">
        <v>554</v>
      </c>
      <c r="AH46" s="3" t="s">
        <v>555</v>
      </c>
      <c r="AI46" s="3" t="s">
        <v>555</v>
      </c>
      <c r="AJ46" s="3"/>
      <c r="AK46" s="3" t="s">
        <v>556</v>
      </c>
      <c r="AL46" s="3" t="s">
        <v>557</v>
      </c>
    </row>
    <row r="47" spans="4:38" ht="14.4" customHeight="1" x14ac:dyDescent="0.3">
      <c r="D47" s="504"/>
      <c r="E47" s="504"/>
      <c r="F47" s="504"/>
      <c r="G47" s="504"/>
      <c r="H47" s="256"/>
      <c r="I47" s="271"/>
      <c r="J47" s="270"/>
      <c r="K47" s="62" t="s">
        <v>442</v>
      </c>
      <c r="L47" s="3"/>
      <c r="M47" s="271"/>
      <c r="N47" s="3"/>
      <c r="O47" s="3"/>
      <c r="P47" s="3"/>
      <c r="Q47" s="270"/>
      <c r="R47" s="270"/>
      <c r="S47" s="270"/>
      <c r="T47" s="270"/>
      <c r="U47" s="270"/>
      <c r="V47" s="270"/>
      <c r="W47" s="270"/>
      <c r="X47" s="270"/>
      <c r="Y47" s="3" t="s">
        <v>150</v>
      </c>
      <c r="Z47" s="7" t="s">
        <v>440</v>
      </c>
      <c r="AA47" s="7" t="s">
        <v>150</v>
      </c>
      <c r="AB47" s="7" t="s">
        <v>439</v>
      </c>
      <c r="AC47" s="7" t="s">
        <v>150</v>
      </c>
      <c r="AD47" s="7" t="s">
        <v>1234</v>
      </c>
      <c r="AE47" s="271"/>
      <c r="AF47" s="271"/>
      <c r="AG47" s="7" t="s">
        <v>558</v>
      </c>
      <c r="AH47" s="7" t="s">
        <v>260</v>
      </c>
      <c r="AI47" s="7" t="s">
        <v>260</v>
      </c>
      <c r="AJ47" s="7"/>
      <c r="AK47" s="7" t="s">
        <v>559</v>
      </c>
      <c r="AL47" s="7" t="s">
        <v>560</v>
      </c>
    </row>
    <row r="48" spans="4:38" ht="14.4" customHeight="1" x14ac:dyDescent="0.3">
      <c r="D48" s="504"/>
      <c r="E48" s="504"/>
      <c r="F48" s="504"/>
      <c r="G48" s="504"/>
      <c r="H48" s="256"/>
      <c r="I48" s="282" t="s">
        <v>9</v>
      </c>
      <c r="J48" s="294" t="s">
        <v>1038</v>
      </c>
      <c r="K48" s="5" t="s">
        <v>75</v>
      </c>
      <c r="L48" s="5">
        <v>110</v>
      </c>
      <c r="M48" s="282" t="s">
        <v>1058</v>
      </c>
      <c r="N48" s="5" t="s">
        <v>76</v>
      </c>
      <c r="O48" s="5">
        <v>29</v>
      </c>
      <c r="P48" s="5"/>
      <c r="Q48" s="294" t="s">
        <v>1034</v>
      </c>
      <c r="R48" s="294" t="s">
        <v>845</v>
      </c>
      <c r="S48" s="294" t="s">
        <v>580</v>
      </c>
      <c r="T48" s="294" t="s">
        <v>1001</v>
      </c>
      <c r="U48" s="294" t="s">
        <v>668</v>
      </c>
      <c r="V48" s="294" t="s">
        <v>668</v>
      </c>
      <c r="W48" s="282" t="s">
        <v>993</v>
      </c>
      <c r="X48" s="294" t="s">
        <v>1092</v>
      </c>
      <c r="Y48" s="282" t="s">
        <v>360</v>
      </c>
      <c r="Z48" s="282"/>
      <c r="AA48" s="282"/>
      <c r="AB48" s="282"/>
      <c r="AC48" s="282"/>
      <c r="AD48" s="282"/>
      <c r="AE48" s="282" t="s">
        <v>668</v>
      </c>
      <c r="AF48" s="282"/>
      <c r="AG48" s="5" t="s">
        <v>585</v>
      </c>
      <c r="AH48" s="5" t="s">
        <v>586</v>
      </c>
      <c r="AI48" s="5" t="s">
        <v>587</v>
      </c>
      <c r="AJ48" s="5"/>
      <c r="AK48" s="5" t="s">
        <v>446</v>
      </c>
      <c r="AL48" s="5" t="s">
        <v>184</v>
      </c>
    </row>
    <row r="49" spans="4:38" ht="14.4" customHeight="1" x14ac:dyDescent="0.3">
      <c r="D49" s="504"/>
      <c r="E49" s="504"/>
      <c r="F49" s="504"/>
      <c r="G49" s="504"/>
      <c r="H49" s="256"/>
      <c r="I49" s="282"/>
      <c r="J49" s="294"/>
      <c r="K49" s="5" t="s">
        <v>361</v>
      </c>
      <c r="L49" s="5">
        <v>246</v>
      </c>
      <c r="M49" s="282"/>
      <c r="N49" s="5" t="s">
        <v>76</v>
      </c>
      <c r="O49" s="5">
        <v>150</v>
      </c>
      <c r="P49" s="5"/>
      <c r="Q49" s="294"/>
      <c r="R49" s="294"/>
      <c r="S49" s="294"/>
      <c r="T49" s="294"/>
      <c r="U49" s="294"/>
      <c r="V49" s="294"/>
      <c r="W49" s="282"/>
      <c r="X49" s="282"/>
      <c r="Y49" s="282"/>
      <c r="Z49" s="282"/>
      <c r="AA49" s="282"/>
      <c r="AB49" s="282"/>
      <c r="AC49" s="282"/>
      <c r="AD49" s="282"/>
      <c r="AE49" s="282"/>
      <c r="AF49" s="282"/>
      <c r="AG49" s="5" t="s">
        <v>581</v>
      </c>
      <c r="AH49" s="5" t="s">
        <v>582</v>
      </c>
      <c r="AI49" s="5" t="s">
        <v>583</v>
      </c>
      <c r="AJ49" s="5"/>
      <c r="AK49" s="5" t="s">
        <v>455</v>
      </c>
      <c r="AL49" s="5" t="s">
        <v>584</v>
      </c>
    </row>
    <row r="50" spans="4:38" ht="14.4" customHeight="1" x14ac:dyDescent="0.3">
      <c r="D50" s="504"/>
      <c r="E50" s="504"/>
      <c r="F50" s="504"/>
      <c r="G50" s="504"/>
      <c r="H50" s="256"/>
      <c r="I50" s="282"/>
      <c r="J50" s="294"/>
      <c r="K50" s="5" t="s">
        <v>80</v>
      </c>
      <c r="L50" s="5">
        <v>496</v>
      </c>
      <c r="M50" s="282"/>
      <c r="N50" s="5" t="s">
        <v>76</v>
      </c>
      <c r="O50" s="5">
        <v>103</v>
      </c>
      <c r="P50" s="5"/>
      <c r="Q50" s="294"/>
      <c r="R50" s="294"/>
      <c r="S50" s="294"/>
      <c r="T50" s="294"/>
      <c r="U50" s="294"/>
      <c r="V50" s="294"/>
      <c r="W50" s="282"/>
      <c r="X50" s="282"/>
      <c r="Y50" s="282"/>
      <c r="Z50" s="282"/>
      <c r="AA50" s="282"/>
      <c r="AB50" s="282"/>
      <c r="AC50" s="282"/>
      <c r="AD50" s="282"/>
      <c r="AE50" s="282"/>
      <c r="AF50" s="282"/>
      <c r="AG50" s="5" t="s">
        <v>588</v>
      </c>
      <c r="AH50" s="5" t="s">
        <v>589</v>
      </c>
      <c r="AI50" s="5" t="s">
        <v>590</v>
      </c>
      <c r="AJ50" s="5"/>
      <c r="AK50" s="5" t="s">
        <v>465</v>
      </c>
      <c r="AL50" s="5" t="s">
        <v>192</v>
      </c>
    </row>
    <row r="51" spans="4:38" ht="14.4" customHeight="1" x14ac:dyDescent="0.3">
      <c r="D51" s="504"/>
      <c r="E51" s="504"/>
      <c r="F51" s="504"/>
      <c r="G51" s="504"/>
      <c r="H51" s="256"/>
      <c r="I51" s="282"/>
      <c r="J51" s="294"/>
      <c r="K51" s="5" t="s">
        <v>171</v>
      </c>
      <c r="L51" s="5">
        <v>796</v>
      </c>
      <c r="M51" s="282"/>
      <c r="N51" s="5" t="s">
        <v>76</v>
      </c>
      <c r="O51" s="5">
        <v>120</v>
      </c>
      <c r="P51" s="5"/>
      <c r="Q51" s="294"/>
      <c r="R51" s="294"/>
      <c r="S51" s="294"/>
      <c r="T51" s="294"/>
      <c r="U51" s="294"/>
      <c r="V51" s="294"/>
      <c r="W51" s="282"/>
      <c r="X51" s="282"/>
      <c r="Y51" s="282"/>
      <c r="Z51" s="282"/>
      <c r="AA51" s="282"/>
      <c r="AB51" s="282"/>
      <c r="AC51" s="282"/>
      <c r="AD51" s="282"/>
      <c r="AE51" s="282"/>
      <c r="AF51" s="282"/>
      <c r="AG51" s="5" t="s">
        <v>591</v>
      </c>
      <c r="AH51" s="5" t="s">
        <v>592</v>
      </c>
      <c r="AI51" s="5" t="s">
        <v>593</v>
      </c>
      <c r="AJ51" s="5"/>
      <c r="AK51" s="5" t="s">
        <v>470</v>
      </c>
      <c r="AL51" s="5" t="s">
        <v>306</v>
      </c>
    </row>
    <row r="52" spans="4:38" ht="14.4" customHeight="1" x14ac:dyDescent="0.3">
      <c r="D52" s="504"/>
      <c r="E52" s="504"/>
      <c r="F52" s="504"/>
      <c r="G52" s="504"/>
      <c r="H52" s="256"/>
      <c r="I52" s="282"/>
      <c r="J52" s="294"/>
      <c r="K52" s="5" t="s">
        <v>363</v>
      </c>
      <c r="L52" s="5" t="s">
        <v>561</v>
      </c>
      <c r="M52" s="282"/>
      <c r="N52" s="5"/>
      <c r="O52" s="5">
        <v>14</v>
      </c>
      <c r="P52" s="5"/>
      <c r="Q52" s="294"/>
      <c r="R52" s="294"/>
      <c r="S52" s="294"/>
      <c r="T52" s="294"/>
      <c r="U52" s="294"/>
      <c r="V52" s="294"/>
      <c r="W52" s="282"/>
      <c r="X52" s="282"/>
      <c r="Y52" s="282"/>
      <c r="Z52" s="282"/>
      <c r="AA52" s="282"/>
      <c r="AB52" s="282"/>
      <c r="AC52" s="282"/>
      <c r="AD52" s="282"/>
      <c r="AE52" s="282"/>
      <c r="AF52" s="282"/>
      <c r="AG52" s="5" t="s">
        <v>594</v>
      </c>
      <c r="AH52" s="5" t="s">
        <v>473</v>
      </c>
      <c r="AI52" s="5" t="s">
        <v>473</v>
      </c>
      <c r="AJ52" s="5"/>
      <c r="AK52" s="5" t="s">
        <v>473</v>
      </c>
      <c r="AL52" s="5" t="s">
        <v>473</v>
      </c>
    </row>
    <row r="53" spans="4:38" ht="14.4" customHeight="1" x14ac:dyDescent="0.3">
      <c r="D53" s="504"/>
      <c r="E53" s="504"/>
      <c r="F53" s="504"/>
      <c r="G53" s="504"/>
      <c r="H53" s="256"/>
      <c r="I53" s="282"/>
      <c r="J53" s="294"/>
      <c r="K53" s="5" t="s">
        <v>83</v>
      </c>
      <c r="L53" s="5">
        <v>2</v>
      </c>
      <c r="M53" s="282"/>
      <c r="N53" s="5" t="s">
        <v>76</v>
      </c>
      <c r="O53" s="5">
        <v>1</v>
      </c>
      <c r="P53" s="5"/>
      <c r="Q53" s="294"/>
      <c r="R53" s="294"/>
      <c r="S53" s="294"/>
      <c r="T53" s="294"/>
      <c r="U53" s="294"/>
      <c r="V53" s="294"/>
      <c r="W53" s="282"/>
      <c r="X53" s="282"/>
      <c r="Y53" s="282"/>
      <c r="Z53" s="282"/>
      <c r="AA53" s="282"/>
      <c r="AB53" s="282"/>
      <c r="AC53" s="282"/>
      <c r="AD53" s="282"/>
      <c r="AE53" s="282"/>
      <c r="AF53" s="282"/>
      <c r="AG53" s="5" t="s">
        <v>595</v>
      </c>
      <c r="AH53" s="5" t="s">
        <v>596</v>
      </c>
      <c r="AI53" s="5" t="s">
        <v>333</v>
      </c>
      <c r="AJ53" s="5"/>
      <c r="AK53" s="5" t="s">
        <v>198</v>
      </c>
      <c r="AL53" s="5" t="s">
        <v>198</v>
      </c>
    </row>
    <row r="54" spans="4:38" ht="14.4" customHeight="1" x14ac:dyDescent="0.3">
      <c r="D54" s="504"/>
      <c r="E54" s="504"/>
      <c r="F54" s="504"/>
      <c r="G54" s="504"/>
      <c r="H54" s="256"/>
      <c r="I54" s="282"/>
      <c r="J54" s="294"/>
      <c r="K54" s="5" t="s">
        <v>86</v>
      </c>
      <c r="L54" s="5">
        <v>1085</v>
      </c>
      <c r="M54" s="282"/>
      <c r="N54" s="5" t="s">
        <v>76</v>
      </c>
      <c r="O54" s="5">
        <v>158</v>
      </c>
      <c r="P54" s="5"/>
      <c r="Q54" s="294"/>
      <c r="R54" s="294"/>
      <c r="S54" s="294"/>
      <c r="T54" s="294"/>
      <c r="U54" s="294"/>
      <c r="V54" s="294"/>
      <c r="W54" s="282"/>
      <c r="X54" s="282"/>
      <c r="Y54" s="282"/>
      <c r="Z54" s="282"/>
      <c r="AA54" s="282"/>
      <c r="AB54" s="282"/>
      <c r="AC54" s="282"/>
      <c r="AD54" s="282"/>
      <c r="AE54" s="282"/>
      <c r="AF54" s="282"/>
      <c r="AG54" s="5" t="s">
        <v>597</v>
      </c>
      <c r="AH54" s="5" t="s">
        <v>598</v>
      </c>
      <c r="AI54" s="5" t="s">
        <v>599</v>
      </c>
      <c r="AJ54" s="5"/>
      <c r="AK54" s="5" t="s">
        <v>485</v>
      </c>
      <c r="AL54" s="5" t="s">
        <v>208</v>
      </c>
    </row>
    <row r="55" spans="4:38" ht="14.4" customHeight="1" x14ac:dyDescent="0.3">
      <c r="D55" s="504"/>
      <c r="E55" s="504"/>
      <c r="F55" s="504"/>
      <c r="G55" s="504"/>
      <c r="H55" s="256"/>
      <c r="I55" s="282"/>
      <c r="J55" s="294"/>
      <c r="K55" s="5" t="s">
        <v>87</v>
      </c>
      <c r="L55" s="5">
        <v>224</v>
      </c>
      <c r="M55" s="282"/>
      <c r="N55" s="5" t="s">
        <v>76</v>
      </c>
      <c r="O55" s="5">
        <v>100</v>
      </c>
      <c r="P55" s="5"/>
      <c r="Q55" s="294"/>
      <c r="R55" s="294"/>
      <c r="S55" s="294"/>
      <c r="T55" s="294"/>
      <c r="U55" s="294"/>
      <c r="V55" s="294"/>
      <c r="W55" s="282"/>
      <c r="X55" s="282"/>
      <c r="Y55" s="282"/>
      <c r="Z55" s="282"/>
      <c r="AA55" s="282"/>
      <c r="AB55" s="282"/>
      <c r="AC55" s="282"/>
      <c r="AD55" s="282"/>
      <c r="AE55" s="282"/>
      <c r="AF55" s="282"/>
      <c r="AG55" s="5" t="s">
        <v>600</v>
      </c>
      <c r="AH55" s="5" t="s">
        <v>601</v>
      </c>
      <c r="AI55" s="5" t="s">
        <v>602</v>
      </c>
      <c r="AJ55" s="5"/>
      <c r="AK55" s="5" t="s">
        <v>490</v>
      </c>
      <c r="AL55" s="5" t="s">
        <v>213</v>
      </c>
    </row>
    <row r="56" spans="4:38" ht="14.4" customHeight="1" x14ac:dyDescent="0.3">
      <c r="D56" s="504"/>
      <c r="E56" s="504"/>
      <c r="F56" s="504"/>
      <c r="G56" s="504"/>
      <c r="H56" s="256"/>
      <c r="I56" s="282"/>
      <c r="J56" s="294"/>
      <c r="K56" s="5" t="s">
        <v>88</v>
      </c>
      <c r="L56" s="5" t="s">
        <v>562</v>
      </c>
      <c r="M56" s="282"/>
      <c r="N56" s="5" t="s">
        <v>76</v>
      </c>
      <c r="O56" s="5" t="s">
        <v>90</v>
      </c>
      <c r="P56" s="5"/>
      <c r="Q56" s="294"/>
      <c r="R56" s="294"/>
      <c r="S56" s="294"/>
      <c r="T56" s="294"/>
      <c r="U56" s="294"/>
      <c r="V56" s="294"/>
      <c r="W56" s="282"/>
      <c r="X56" s="282"/>
      <c r="Y56" s="282"/>
      <c r="Z56" s="282"/>
      <c r="AA56" s="282"/>
      <c r="AB56" s="282"/>
      <c r="AC56" s="282"/>
      <c r="AD56" s="282"/>
      <c r="AE56" s="282"/>
      <c r="AF56" s="282"/>
      <c r="AG56" s="5" t="s">
        <v>603</v>
      </c>
      <c r="AH56" s="5" t="s">
        <v>604</v>
      </c>
      <c r="AI56" s="5" t="s">
        <v>352</v>
      </c>
      <c r="AJ56" s="5"/>
      <c r="AK56" s="5" t="s">
        <v>493</v>
      </c>
      <c r="AL56" s="5" t="s">
        <v>317</v>
      </c>
    </row>
    <row r="57" spans="4:38" ht="14.4" customHeight="1" x14ac:dyDescent="0.3">
      <c r="D57" s="504"/>
      <c r="E57" s="504"/>
      <c r="F57" s="504"/>
      <c r="G57" s="504"/>
      <c r="H57" s="256"/>
      <c r="I57" s="282"/>
      <c r="J57" s="294"/>
      <c r="K57" s="5" t="s">
        <v>91</v>
      </c>
      <c r="L57" s="5" t="s">
        <v>563</v>
      </c>
      <c r="M57" s="282"/>
      <c r="N57" s="5" t="s">
        <v>76</v>
      </c>
      <c r="O57" s="5" t="s">
        <v>93</v>
      </c>
      <c r="P57" s="5"/>
      <c r="Q57" s="294"/>
      <c r="R57" s="294"/>
      <c r="S57" s="294"/>
      <c r="T57" s="294"/>
      <c r="U57" s="294"/>
      <c r="V57" s="294"/>
      <c r="W57" s="282"/>
      <c r="X57" s="282"/>
      <c r="Y57" s="282"/>
      <c r="Z57" s="282"/>
      <c r="AA57" s="282"/>
      <c r="AB57" s="282"/>
      <c r="AC57" s="282"/>
      <c r="AD57" s="282"/>
      <c r="AE57" s="282"/>
      <c r="AF57" s="282"/>
      <c r="AG57" s="5" t="s">
        <v>605</v>
      </c>
      <c r="AH57" s="5" t="s">
        <v>606</v>
      </c>
      <c r="AI57" s="5" t="s">
        <v>607</v>
      </c>
      <c r="AJ57" s="5"/>
      <c r="AK57" s="5" t="s">
        <v>496</v>
      </c>
      <c r="AL57" s="5" t="s">
        <v>320</v>
      </c>
    </row>
    <row r="58" spans="4:38" ht="14.4" customHeight="1" x14ac:dyDescent="0.3">
      <c r="D58" s="504"/>
      <c r="E58" s="504"/>
      <c r="F58" s="504"/>
      <c r="G58" s="504"/>
      <c r="H58" s="256"/>
      <c r="I58" s="282"/>
      <c r="J58" s="294"/>
      <c r="K58" s="5" t="s">
        <v>94</v>
      </c>
      <c r="L58" s="5" t="s">
        <v>564</v>
      </c>
      <c r="M58" s="282"/>
      <c r="N58" s="5" t="s">
        <v>76</v>
      </c>
      <c r="O58" s="5" t="s">
        <v>90</v>
      </c>
      <c r="P58" s="5"/>
      <c r="Q58" s="294"/>
      <c r="R58" s="294"/>
      <c r="S58" s="294"/>
      <c r="T58" s="294"/>
      <c r="U58" s="294"/>
      <c r="V58" s="294"/>
      <c r="W58" s="282"/>
      <c r="X58" s="282"/>
      <c r="Y58" s="282"/>
      <c r="Z58" s="282"/>
      <c r="AA58" s="282"/>
      <c r="AB58" s="282"/>
      <c r="AC58" s="282"/>
      <c r="AD58" s="282"/>
      <c r="AE58" s="282"/>
      <c r="AF58" s="282"/>
      <c r="AG58" s="5" t="s">
        <v>608</v>
      </c>
      <c r="AH58" s="5" t="s">
        <v>609</v>
      </c>
      <c r="AI58" s="5" t="s">
        <v>610</v>
      </c>
      <c r="AJ58" s="5"/>
      <c r="AK58" s="5" t="s">
        <v>501</v>
      </c>
      <c r="AL58" s="5" t="s">
        <v>502</v>
      </c>
    </row>
    <row r="59" spans="4:38" ht="14.4" customHeight="1" x14ac:dyDescent="0.3">
      <c r="D59" s="504"/>
      <c r="E59" s="504"/>
      <c r="F59" s="504"/>
      <c r="G59" s="504"/>
      <c r="H59" s="256"/>
      <c r="I59" s="282"/>
      <c r="J59" s="294"/>
      <c r="K59" s="5" t="s">
        <v>96</v>
      </c>
      <c r="L59" s="5" t="s">
        <v>564</v>
      </c>
      <c r="M59" s="282"/>
      <c r="N59" s="5" t="s">
        <v>76</v>
      </c>
      <c r="O59" s="5" t="s">
        <v>90</v>
      </c>
      <c r="P59" s="5"/>
      <c r="Q59" s="294"/>
      <c r="R59" s="294"/>
      <c r="S59" s="294"/>
      <c r="T59" s="294"/>
      <c r="U59" s="294"/>
      <c r="V59" s="294"/>
      <c r="W59" s="282"/>
      <c r="X59" s="282"/>
      <c r="Y59" s="282"/>
      <c r="Z59" s="282"/>
      <c r="AA59" s="282"/>
      <c r="AB59" s="282"/>
      <c r="AC59" s="282"/>
      <c r="AD59" s="282"/>
      <c r="AE59" s="282"/>
      <c r="AF59" s="282"/>
      <c r="AG59" s="5" t="s">
        <v>608</v>
      </c>
      <c r="AH59" s="5" t="s">
        <v>609</v>
      </c>
      <c r="AI59" s="5" t="s">
        <v>610</v>
      </c>
      <c r="AJ59" s="5"/>
      <c r="AK59" s="5" t="s">
        <v>501</v>
      </c>
      <c r="AL59" s="5" t="s">
        <v>502</v>
      </c>
    </row>
    <row r="60" spans="4:38" ht="14.4" customHeight="1" x14ac:dyDescent="0.3">
      <c r="D60" s="504"/>
      <c r="E60" s="504"/>
      <c r="F60" s="504"/>
      <c r="G60" s="504"/>
      <c r="H60" s="256"/>
      <c r="I60" s="282"/>
      <c r="J60" s="294"/>
      <c r="K60" s="5" t="s">
        <v>172</v>
      </c>
      <c r="L60" s="5">
        <v>24</v>
      </c>
      <c r="M60" s="282"/>
      <c r="N60" s="5" t="s">
        <v>76</v>
      </c>
      <c r="O60" s="5" t="s">
        <v>93</v>
      </c>
      <c r="P60" s="5"/>
      <c r="Q60" s="294"/>
      <c r="R60" s="294"/>
      <c r="S60" s="294"/>
      <c r="T60" s="294"/>
      <c r="U60" s="294"/>
      <c r="V60" s="294"/>
      <c r="W60" s="282"/>
      <c r="X60" s="282"/>
      <c r="Y60" s="282"/>
      <c r="Z60" s="282"/>
      <c r="AA60" s="282"/>
      <c r="AB60" s="282"/>
      <c r="AC60" s="282"/>
      <c r="AD60" s="282"/>
      <c r="AE60" s="282"/>
      <c r="AF60" s="282"/>
      <c r="AG60" s="5" t="s">
        <v>611</v>
      </c>
      <c r="AH60" s="5" t="s">
        <v>612</v>
      </c>
      <c r="AI60" s="5" t="s">
        <v>613</v>
      </c>
      <c r="AJ60" s="5"/>
      <c r="AK60" s="5" t="s">
        <v>505</v>
      </c>
      <c r="AL60" s="5" t="s">
        <v>506</v>
      </c>
    </row>
    <row r="61" spans="4:38" ht="14.4" customHeight="1" x14ac:dyDescent="0.3">
      <c r="D61" s="504"/>
      <c r="E61" s="504"/>
      <c r="F61" s="504"/>
      <c r="G61" s="504"/>
      <c r="H61" s="256"/>
      <c r="I61" s="282"/>
      <c r="J61" s="294"/>
      <c r="K61" s="5" t="s">
        <v>99</v>
      </c>
      <c r="L61" s="5" t="s">
        <v>565</v>
      </c>
      <c r="M61" s="282"/>
      <c r="N61" s="5" t="s">
        <v>76</v>
      </c>
      <c r="O61" s="5" t="s">
        <v>90</v>
      </c>
      <c r="P61" s="5"/>
      <c r="Q61" s="294"/>
      <c r="R61" s="294"/>
      <c r="S61" s="294"/>
      <c r="T61" s="294"/>
      <c r="U61" s="294"/>
      <c r="V61" s="294"/>
      <c r="W61" s="282"/>
      <c r="X61" s="282"/>
      <c r="Y61" s="282"/>
      <c r="Z61" s="282"/>
      <c r="AA61" s="282"/>
      <c r="AB61" s="282"/>
      <c r="AC61" s="282"/>
      <c r="AD61" s="282"/>
      <c r="AE61" s="282"/>
      <c r="AF61" s="282"/>
      <c r="AG61" s="5" t="s">
        <v>614</v>
      </c>
      <c r="AH61" s="5" t="s">
        <v>615</v>
      </c>
      <c r="AI61" s="5" t="s">
        <v>616</v>
      </c>
      <c r="AJ61" s="5"/>
      <c r="AK61" s="5" t="s">
        <v>510</v>
      </c>
      <c r="AL61" s="5" t="s">
        <v>511</v>
      </c>
    </row>
    <row r="62" spans="4:38" ht="14.4" customHeight="1" x14ac:dyDescent="0.3">
      <c r="D62" s="504"/>
      <c r="E62" s="504"/>
      <c r="F62" s="504"/>
      <c r="G62" s="504"/>
      <c r="H62" s="256"/>
      <c r="I62" s="282"/>
      <c r="J62" s="294"/>
      <c r="K62" s="5" t="s">
        <v>101</v>
      </c>
      <c r="L62" s="5" t="s">
        <v>566</v>
      </c>
      <c r="M62" s="282"/>
      <c r="N62" s="5" t="s">
        <v>76</v>
      </c>
      <c r="O62" s="5">
        <v>5</v>
      </c>
      <c r="P62" s="5"/>
      <c r="Q62" s="294"/>
      <c r="R62" s="294"/>
      <c r="S62" s="294"/>
      <c r="T62" s="294"/>
      <c r="U62" s="294"/>
      <c r="V62" s="294"/>
      <c r="W62" s="282"/>
      <c r="X62" s="282"/>
      <c r="Y62" s="282"/>
      <c r="Z62" s="282"/>
      <c r="AA62" s="282"/>
      <c r="AB62" s="282"/>
      <c r="AC62" s="282"/>
      <c r="AD62" s="282"/>
      <c r="AE62" s="282"/>
      <c r="AF62" s="282"/>
      <c r="AG62" s="5" t="s">
        <v>617</v>
      </c>
      <c r="AH62" s="5" t="s">
        <v>618</v>
      </c>
      <c r="AI62" s="5" t="s">
        <v>619</v>
      </c>
      <c r="AJ62" s="5"/>
      <c r="AK62" s="5" t="s">
        <v>514</v>
      </c>
      <c r="AL62" s="5" t="s">
        <v>515</v>
      </c>
    </row>
    <row r="63" spans="4:38" ht="14.4" customHeight="1" x14ac:dyDescent="0.3">
      <c r="D63" s="504"/>
      <c r="E63" s="504"/>
      <c r="F63" s="504"/>
      <c r="G63" s="504"/>
      <c r="H63" s="256"/>
      <c r="I63" s="282"/>
      <c r="J63" s="294"/>
      <c r="K63" s="5" t="s">
        <v>103</v>
      </c>
      <c r="L63" s="5">
        <v>9</v>
      </c>
      <c r="M63" s="282"/>
      <c r="N63" s="5" t="s">
        <v>76</v>
      </c>
      <c r="O63" s="5" t="s">
        <v>93</v>
      </c>
      <c r="P63" s="5"/>
      <c r="Q63" s="294"/>
      <c r="R63" s="294"/>
      <c r="S63" s="294"/>
      <c r="T63" s="294"/>
      <c r="U63" s="294"/>
      <c r="V63" s="294"/>
      <c r="W63" s="282"/>
      <c r="X63" s="282"/>
      <c r="Y63" s="282"/>
      <c r="Z63" s="282"/>
      <c r="AA63" s="282"/>
      <c r="AB63" s="282"/>
      <c r="AC63" s="282"/>
      <c r="AD63" s="282"/>
      <c r="AE63" s="282"/>
      <c r="AF63" s="282"/>
      <c r="AG63" s="5" t="s">
        <v>620</v>
      </c>
      <c r="AH63" s="5" t="s">
        <v>473</v>
      </c>
      <c r="AI63" s="5" t="s">
        <v>473</v>
      </c>
      <c r="AJ63" s="5"/>
      <c r="AK63" s="5" t="s">
        <v>517</v>
      </c>
      <c r="AL63" s="5" t="s">
        <v>518</v>
      </c>
    </row>
    <row r="64" spans="4:38" ht="14.4" customHeight="1" x14ac:dyDescent="0.3">
      <c r="D64" s="504"/>
      <c r="E64" s="504"/>
      <c r="F64" s="504"/>
      <c r="G64" s="504"/>
      <c r="H64" s="256"/>
      <c r="I64" s="282"/>
      <c r="J64" s="294"/>
      <c r="K64" s="5" t="s">
        <v>105</v>
      </c>
      <c r="L64" s="5" t="s">
        <v>567</v>
      </c>
      <c r="M64" s="282"/>
      <c r="N64" s="5" t="s">
        <v>76</v>
      </c>
      <c r="O64" s="5" t="s">
        <v>93</v>
      </c>
      <c r="P64" s="5"/>
      <c r="Q64" s="294"/>
      <c r="R64" s="294"/>
      <c r="S64" s="294"/>
      <c r="T64" s="294"/>
      <c r="U64" s="294"/>
      <c r="V64" s="294"/>
      <c r="W64" s="282"/>
      <c r="X64" s="282"/>
      <c r="Y64" s="282"/>
      <c r="Z64" s="282"/>
      <c r="AA64" s="282"/>
      <c r="AB64" s="282"/>
      <c r="AC64" s="282"/>
      <c r="AD64" s="282"/>
      <c r="AE64" s="282"/>
      <c r="AF64" s="282"/>
      <c r="AG64" s="5" t="s">
        <v>217</v>
      </c>
      <c r="AH64" s="5" t="s">
        <v>621</v>
      </c>
      <c r="AI64" s="5" t="s">
        <v>622</v>
      </c>
      <c r="AJ64" s="5"/>
      <c r="AK64" s="5" t="s">
        <v>522</v>
      </c>
      <c r="AL64" s="5" t="s">
        <v>523</v>
      </c>
    </row>
    <row r="65" spans="4:38" ht="14.4" customHeight="1" x14ac:dyDescent="0.3">
      <c r="D65" s="504"/>
      <c r="E65" s="504"/>
      <c r="F65" s="504"/>
      <c r="G65" s="504"/>
      <c r="H65" s="256"/>
      <c r="I65" s="282"/>
      <c r="J65" s="294"/>
      <c r="K65" s="5" t="s">
        <v>107</v>
      </c>
      <c r="L65" s="5" t="s">
        <v>568</v>
      </c>
      <c r="M65" s="282"/>
      <c r="N65" s="5" t="s">
        <v>76</v>
      </c>
      <c r="O65" s="5" t="s">
        <v>93</v>
      </c>
      <c r="P65" s="5"/>
      <c r="Q65" s="294"/>
      <c r="R65" s="294"/>
      <c r="S65" s="294"/>
      <c r="T65" s="294"/>
      <c r="U65" s="294"/>
      <c r="V65" s="294"/>
      <c r="W65" s="282"/>
      <c r="X65" s="282"/>
      <c r="Y65" s="282"/>
      <c r="Z65" s="282"/>
      <c r="AA65" s="282"/>
      <c r="AB65" s="282"/>
      <c r="AC65" s="282"/>
      <c r="AD65" s="282"/>
      <c r="AE65" s="282"/>
      <c r="AF65" s="282"/>
      <c r="AG65" s="5" t="s">
        <v>623</v>
      </c>
      <c r="AH65" s="5" t="s">
        <v>473</v>
      </c>
      <c r="AI65" s="5" t="s">
        <v>473</v>
      </c>
      <c r="AJ65" s="5"/>
      <c r="AK65" s="5" t="s">
        <v>525</v>
      </c>
      <c r="AL65" s="5" t="s">
        <v>526</v>
      </c>
    </row>
    <row r="66" spans="4:38" ht="14.4" customHeight="1" x14ac:dyDescent="0.3">
      <c r="D66" s="504"/>
      <c r="E66" s="504"/>
      <c r="F66" s="504"/>
      <c r="G66" s="504"/>
      <c r="H66" s="256"/>
      <c r="I66" s="282"/>
      <c r="J66" s="294"/>
      <c r="K66" s="5" t="s">
        <v>151</v>
      </c>
      <c r="L66" s="5" t="s">
        <v>569</v>
      </c>
      <c r="M66" s="282"/>
      <c r="N66" s="5" t="s">
        <v>76</v>
      </c>
      <c r="O66" s="5" t="s">
        <v>93</v>
      </c>
      <c r="P66" s="5"/>
      <c r="Q66" s="294"/>
      <c r="R66" s="294"/>
      <c r="S66" s="294"/>
      <c r="T66" s="294"/>
      <c r="U66" s="294"/>
      <c r="V66" s="294"/>
      <c r="W66" s="282"/>
      <c r="X66" s="282"/>
      <c r="Y66" s="282"/>
      <c r="Z66" s="282"/>
      <c r="AA66" s="282"/>
      <c r="AB66" s="282"/>
      <c r="AC66" s="282"/>
      <c r="AD66" s="282"/>
      <c r="AE66" s="282"/>
      <c r="AF66" s="282"/>
      <c r="AG66" s="5" t="s">
        <v>268</v>
      </c>
      <c r="AH66" s="5" t="s">
        <v>473</v>
      </c>
      <c r="AI66" s="5" t="s">
        <v>473</v>
      </c>
      <c r="AJ66" s="5"/>
      <c r="AK66" s="5" t="s">
        <v>528</v>
      </c>
      <c r="AL66" s="5" t="s">
        <v>529</v>
      </c>
    </row>
    <row r="67" spans="4:38" ht="14.4" customHeight="1" x14ac:dyDescent="0.3">
      <c r="D67" s="504"/>
      <c r="E67" s="504"/>
      <c r="F67" s="504"/>
      <c r="G67" s="504"/>
      <c r="H67" s="256"/>
      <c r="I67" s="282"/>
      <c r="J67" s="294"/>
      <c r="K67" s="5" t="s">
        <v>364</v>
      </c>
      <c r="L67" s="5" t="s">
        <v>570</v>
      </c>
      <c r="M67" s="282"/>
      <c r="N67" s="5" t="s">
        <v>76</v>
      </c>
      <c r="O67" s="5" t="s">
        <v>93</v>
      </c>
      <c r="P67" s="5"/>
      <c r="Q67" s="294"/>
      <c r="R67" s="294"/>
      <c r="S67" s="294"/>
      <c r="T67" s="294"/>
      <c r="U67" s="294"/>
      <c r="V67" s="294"/>
      <c r="W67" s="282"/>
      <c r="X67" s="282"/>
      <c r="Y67" s="282"/>
      <c r="Z67" s="282"/>
      <c r="AA67" s="282"/>
      <c r="AB67" s="282"/>
      <c r="AC67" s="282"/>
      <c r="AD67" s="282"/>
      <c r="AE67" s="282"/>
      <c r="AF67" s="282"/>
      <c r="AG67" s="5" t="s">
        <v>624</v>
      </c>
      <c r="AH67" s="5" t="s">
        <v>473</v>
      </c>
      <c r="AI67" s="5" t="s">
        <v>473</v>
      </c>
      <c r="AJ67" s="5"/>
      <c r="AK67" s="5" t="s">
        <v>473</v>
      </c>
      <c r="AL67" s="5" t="s">
        <v>473</v>
      </c>
    </row>
    <row r="68" spans="4:38" ht="14.4" customHeight="1" x14ac:dyDescent="0.3">
      <c r="D68" s="504"/>
      <c r="E68" s="504"/>
      <c r="F68" s="504"/>
      <c r="G68" s="504"/>
      <c r="H68" s="256"/>
      <c r="I68" s="282"/>
      <c r="J68" s="294"/>
      <c r="K68" s="5" t="s">
        <v>113</v>
      </c>
      <c r="L68" s="5">
        <v>57</v>
      </c>
      <c r="M68" s="282"/>
      <c r="N68" s="5" t="s">
        <v>76</v>
      </c>
      <c r="O68" s="5" t="s">
        <v>93</v>
      </c>
      <c r="P68" s="5"/>
      <c r="Q68" s="294"/>
      <c r="R68" s="294"/>
      <c r="S68" s="294"/>
      <c r="T68" s="294"/>
      <c r="U68" s="294"/>
      <c r="V68" s="294"/>
      <c r="W68" s="282"/>
      <c r="X68" s="282"/>
      <c r="Y68" s="282"/>
      <c r="Z68" s="282"/>
      <c r="AA68" s="282"/>
      <c r="AB68" s="282"/>
      <c r="AC68" s="282"/>
      <c r="AD68" s="282"/>
      <c r="AE68" s="282"/>
      <c r="AF68" s="282"/>
      <c r="AG68" s="5" t="s">
        <v>625</v>
      </c>
      <c r="AH68" s="5" t="s">
        <v>473</v>
      </c>
      <c r="AI68" s="5" t="s">
        <v>473</v>
      </c>
      <c r="AJ68" s="5"/>
      <c r="AK68" s="5" t="s">
        <v>531</v>
      </c>
      <c r="AL68" s="5" t="s">
        <v>532</v>
      </c>
    </row>
    <row r="69" spans="4:38" ht="14.4" customHeight="1" x14ac:dyDescent="0.3">
      <c r="D69" s="504"/>
      <c r="E69" s="504"/>
      <c r="F69" s="504"/>
      <c r="G69" s="504"/>
      <c r="H69" s="256"/>
      <c r="I69" s="282"/>
      <c r="J69" s="294"/>
      <c r="K69" s="5" t="s">
        <v>115</v>
      </c>
      <c r="L69" s="5">
        <v>102</v>
      </c>
      <c r="M69" s="282"/>
      <c r="N69" s="5" t="s">
        <v>76</v>
      </c>
      <c r="O69" s="5">
        <v>5</v>
      </c>
      <c r="P69" s="5"/>
      <c r="Q69" s="294"/>
      <c r="R69" s="294"/>
      <c r="S69" s="294"/>
      <c r="T69" s="294"/>
      <c r="U69" s="294"/>
      <c r="V69" s="294"/>
      <c r="W69" s="282"/>
      <c r="X69" s="282"/>
      <c r="Y69" s="282"/>
      <c r="Z69" s="282"/>
      <c r="AA69" s="282"/>
      <c r="AB69" s="282"/>
      <c r="AC69" s="282"/>
      <c r="AD69" s="282"/>
      <c r="AE69" s="282"/>
      <c r="AF69" s="282"/>
      <c r="AG69" s="5" t="s">
        <v>626</v>
      </c>
      <c r="AH69" s="5" t="s">
        <v>627</v>
      </c>
      <c r="AI69" s="5" t="s">
        <v>607</v>
      </c>
      <c r="AJ69" s="5"/>
      <c r="AK69" s="5" t="s">
        <v>536</v>
      </c>
      <c r="AL69" s="5" t="s">
        <v>537</v>
      </c>
    </row>
    <row r="70" spans="4:38" ht="14.4" customHeight="1" x14ac:dyDescent="0.3">
      <c r="D70" s="504"/>
      <c r="E70" s="504"/>
      <c r="F70" s="504"/>
      <c r="G70" s="504"/>
      <c r="H70" s="256"/>
      <c r="I70" s="282"/>
      <c r="J70" s="294"/>
      <c r="K70" s="5" t="s">
        <v>117</v>
      </c>
      <c r="L70" s="5" t="s">
        <v>571</v>
      </c>
      <c r="M70" s="282"/>
      <c r="N70" s="5" t="s">
        <v>76</v>
      </c>
      <c r="O70" s="5">
        <v>5</v>
      </c>
      <c r="P70" s="5"/>
      <c r="Q70" s="294"/>
      <c r="R70" s="294"/>
      <c r="S70" s="294"/>
      <c r="T70" s="294"/>
      <c r="U70" s="294"/>
      <c r="V70" s="294"/>
      <c r="W70" s="282"/>
      <c r="X70" s="282"/>
      <c r="Y70" s="282"/>
      <c r="Z70" s="282"/>
      <c r="AA70" s="282"/>
      <c r="AB70" s="282"/>
      <c r="AC70" s="282"/>
      <c r="AD70" s="282"/>
      <c r="AE70" s="282"/>
      <c r="AF70" s="282"/>
      <c r="AG70" s="5" t="s">
        <v>628</v>
      </c>
      <c r="AH70" s="5" t="s">
        <v>629</v>
      </c>
      <c r="AI70" s="5" t="s">
        <v>630</v>
      </c>
      <c r="AJ70" s="5"/>
      <c r="AK70" s="5" t="s">
        <v>541</v>
      </c>
      <c r="AL70" s="5" t="s">
        <v>542</v>
      </c>
    </row>
    <row r="71" spans="4:38" ht="14.4" customHeight="1" x14ac:dyDescent="0.3">
      <c r="D71" s="504"/>
      <c r="E71" s="504"/>
      <c r="F71" s="504"/>
      <c r="G71" s="504"/>
      <c r="H71" s="256"/>
      <c r="I71" s="282"/>
      <c r="J71" s="294"/>
      <c r="K71" s="5" t="s">
        <v>173</v>
      </c>
      <c r="L71" s="5" t="s">
        <v>572</v>
      </c>
      <c r="M71" s="282"/>
      <c r="N71" s="5" t="s">
        <v>76</v>
      </c>
      <c r="O71" s="5">
        <v>5</v>
      </c>
      <c r="P71" s="5"/>
      <c r="Q71" s="294"/>
      <c r="R71" s="294"/>
      <c r="S71" s="294"/>
      <c r="T71" s="294"/>
      <c r="U71" s="294"/>
      <c r="V71" s="294"/>
      <c r="W71" s="282"/>
      <c r="X71" s="282"/>
      <c r="Y71" s="282"/>
      <c r="Z71" s="282"/>
      <c r="AA71" s="282"/>
      <c r="AB71" s="282"/>
      <c r="AC71" s="282"/>
      <c r="AD71" s="282"/>
      <c r="AE71" s="282"/>
      <c r="AF71" s="282"/>
      <c r="AG71" s="5" t="s">
        <v>631</v>
      </c>
      <c r="AH71" s="5" t="s">
        <v>632</v>
      </c>
      <c r="AI71" s="5" t="s">
        <v>633</v>
      </c>
      <c r="AJ71" s="5"/>
      <c r="AK71" s="5" t="s">
        <v>634</v>
      </c>
      <c r="AL71" s="5" t="s">
        <v>635</v>
      </c>
    </row>
    <row r="72" spans="4:38" ht="294" customHeight="1" x14ac:dyDescent="0.3">
      <c r="D72" s="504"/>
      <c r="E72" s="504"/>
      <c r="F72" s="504"/>
      <c r="G72" s="504"/>
      <c r="H72" s="256"/>
      <c r="I72" s="282"/>
      <c r="J72" s="294"/>
      <c r="K72" s="6" t="s">
        <v>119</v>
      </c>
      <c r="L72" s="5">
        <v>155</v>
      </c>
      <c r="M72" s="282"/>
      <c r="N72" s="5" t="s">
        <v>76</v>
      </c>
      <c r="O72" s="5">
        <v>5</v>
      </c>
      <c r="P72" s="5"/>
      <c r="Q72" s="294"/>
      <c r="R72" s="294"/>
      <c r="S72" s="294"/>
      <c r="T72" s="294"/>
      <c r="U72" s="294"/>
      <c r="V72" s="294"/>
      <c r="W72" s="282"/>
      <c r="X72" s="282"/>
      <c r="Y72" s="282"/>
      <c r="Z72" s="282"/>
      <c r="AA72" s="282"/>
      <c r="AB72" s="282"/>
      <c r="AC72" s="282"/>
      <c r="AD72" s="282"/>
      <c r="AE72" s="282"/>
      <c r="AF72" s="282"/>
      <c r="AG72" s="5" t="s">
        <v>636</v>
      </c>
      <c r="AH72" s="5" t="s">
        <v>637</v>
      </c>
      <c r="AI72" s="5" t="s">
        <v>519</v>
      </c>
      <c r="AJ72" s="5"/>
      <c r="AK72" s="5" t="s">
        <v>300</v>
      </c>
      <c r="AL72" s="5" t="s">
        <v>545</v>
      </c>
    </row>
    <row r="73" spans="4:38" ht="21" customHeight="1" x14ac:dyDescent="0.3">
      <c r="D73" s="504"/>
      <c r="E73" s="504"/>
      <c r="F73" s="504"/>
      <c r="G73" s="504"/>
      <c r="H73" s="256"/>
      <c r="I73" s="282"/>
      <c r="J73" s="294"/>
      <c r="K73" s="5" t="s">
        <v>121</v>
      </c>
      <c r="L73" s="5" t="s">
        <v>573</v>
      </c>
      <c r="M73" s="282"/>
      <c r="N73" s="5" t="s">
        <v>76</v>
      </c>
      <c r="O73" s="5" t="s">
        <v>93</v>
      </c>
      <c r="P73" s="5"/>
      <c r="Q73" s="294"/>
      <c r="R73" s="294"/>
      <c r="S73" s="294"/>
      <c r="T73" s="294"/>
      <c r="U73" s="294"/>
      <c r="V73" s="294"/>
      <c r="W73" s="282"/>
      <c r="X73" s="282"/>
      <c r="Y73" s="282"/>
      <c r="Z73" s="282"/>
      <c r="AA73" s="282"/>
      <c r="AB73" s="282"/>
      <c r="AC73" s="282"/>
      <c r="AD73" s="282"/>
      <c r="AE73" s="282"/>
      <c r="AF73" s="282"/>
      <c r="AG73" s="5" t="s">
        <v>241</v>
      </c>
      <c r="AH73" s="5" t="s">
        <v>638</v>
      </c>
      <c r="AI73" s="5" t="s">
        <v>639</v>
      </c>
      <c r="AJ73" s="5"/>
      <c r="AK73" s="5" t="s">
        <v>290</v>
      </c>
      <c r="AL73" s="5" t="s">
        <v>290</v>
      </c>
    </row>
    <row r="74" spans="4:38" ht="21" customHeight="1" x14ac:dyDescent="0.3">
      <c r="D74" s="504"/>
      <c r="E74" s="504"/>
      <c r="F74" s="504"/>
      <c r="G74" s="504"/>
      <c r="H74" s="256"/>
      <c r="I74" s="282"/>
      <c r="J74" s="294"/>
      <c r="K74" s="5" t="s">
        <v>123</v>
      </c>
      <c r="L74" s="5" t="s">
        <v>574</v>
      </c>
      <c r="M74" s="282"/>
      <c r="N74" s="5" t="s">
        <v>76</v>
      </c>
      <c r="O74" s="5">
        <v>10</v>
      </c>
      <c r="P74" s="5"/>
      <c r="Q74" s="294"/>
      <c r="R74" s="294"/>
      <c r="S74" s="294"/>
      <c r="T74" s="294"/>
      <c r="U74" s="294"/>
      <c r="V74" s="294"/>
      <c r="W74" s="282"/>
      <c r="X74" s="282"/>
      <c r="Y74" s="282"/>
      <c r="Z74" s="282"/>
      <c r="AA74" s="282"/>
      <c r="AB74" s="282"/>
      <c r="AC74" s="282"/>
      <c r="AD74" s="282"/>
      <c r="AE74" s="282"/>
      <c r="AF74" s="282"/>
      <c r="AG74" s="5"/>
      <c r="AH74" s="5"/>
      <c r="AI74" s="5"/>
      <c r="AJ74" s="5"/>
      <c r="AK74" s="5"/>
      <c r="AL74" s="5" t="s">
        <v>640</v>
      </c>
    </row>
    <row r="75" spans="4:38" ht="21" customHeight="1" x14ac:dyDescent="0.3">
      <c r="D75" s="504"/>
      <c r="E75" s="504"/>
      <c r="F75" s="504"/>
      <c r="G75" s="504"/>
      <c r="H75" s="256"/>
      <c r="I75" s="282"/>
      <c r="J75" s="294"/>
      <c r="K75" s="5" t="s">
        <v>152</v>
      </c>
      <c r="L75" s="5" t="s">
        <v>574</v>
      </c>
      <c r="M75" s="282"/>
      <c r="N75" s="5" t="s">
        <v>575</v>
      </c>
      <c r="O75" s="5"/>
      <c r="P75" s="5"/>
      <c r="Q75" s="294"/>
      <c r="R75" s="294"/>
      <c r="S75" s="294"/>
      <c r="T75" s="294"/>
      <c r="U75" s="294"/>
      <c r="V75" s="294"/>
      <c r="W75" s="282"/>
      <c r="X75" s="282"/>
      <c r="Y75" s="282"/>
      <c r="Z75" s="282"/>
      <c r="AA75" s="282"/>
      <c r="AB75" s="282"/>
      <c r="AC75" s="282"/>
      <c r="AD75" s="282"/>
      <c r="AE75" s="282"/>
      <c r="AF75" s="282"/>
      <c r="AG75" s="5" t="s">
        <v>641</v>
      </c>
      <c r="AH75" s="5"/>
      <c r="AI75" s="5"/>
      <c r="AJ75" s="5"/>
      <c r="AK75" s="5"/>
      <c r="AL75" s="5" t="s">
        <v>640</v>
      </c>
    </row>
    <row r="76" spans="4:38" ht="21" customHeight="1" x14ac:dyDescent="0.3">
      <c r="D76" s="504"/>
      <c r="E76" s="504"/>
      <c r="F76" s="504"/>
      <c r="G76" s="504"/>
      <c r="H76" s="256"/>
      <c r="I76" s="282"/>
      <c r="J76" s="294"/>
      <c r="K76" s="5" t="s">
        <v>127</v>
      </c>
      <c r="L76" s="5">
        <v>907</v>
      </c>
      <c r="M76" s="282"/>
      <c r="N76" s="5" t="s">
        <v>76</v>
      </c>
      <c r="O76" s="5">
        <v>50</v>
      </c>
      <c r="P76" s="5"/>
      <c r="Q76" s="294"/>
      <c r="R76" s="294"/>
      <c r="S76" s="294"/>
      <c r="T76" s="294"/>
      <c r="U76" s="294"/>
      <c r="V76" s="294"/>
      <c r="W76" s="282"/>
      <c r="X76" s="282"/>
      <c r="Y76" s="282"/>
      <c r="Z76" s="282"/>
      <c r="AA76" s="282"/>
      <c r="AB76" s="282"/>
      <c r="AC76" s="282"/>
      <c r="AD76" s="282"/>
      <c r="AE76" s="282"/>
      <c r="AF76" s="282"/>
      <c r="AG76" s="5"/>
      <c r="AH76" s="5"/>
      <c r="AI76" s="5"/>
      <c r="AJ76" s="5"/>
      <c r="AK76" s="5"/>
      <c r="AL76" s="5" t="s">
        <v>640</v>
      </c>
    </row>
    <row r="77" spans="4:38" ht="21" customHeight="1" x14ac:dyDescent="0.3">
      <c r="D77" s="504"/>
      <c r="E77" s="504"/>
      <c r="F77" s="504"/>
      <c r="G77" s="504"/>
      <c r="H77" s="256"/>
      <c r="I77" s="282"/>
      <c r="J77" s="294"/>
      <c r="K77" s="5" t="s">
        <v>1258</v>
      </c>
      <c r="L77" s="5">
        <v>108</v>
      </c>
      <c r="M77" s="282"/>
      <c r="N77" s="5" t="s">
        <v>576</v>
      </c>
      <c r="O77" s="5"/>
      <c r="P77" s="5"/>
      <c r="Q77" s="294"/>
      <c r="R77" s="294"/>
      <c r="S77" s="294"/>
      <c r="T77" s="294"/>
      <c r="U77" s="294"/>
      <c r="V77" s="294"/>
      <c r="W77" s="282"/>
      <c r="X77" s="282"/>
      <c r="Y77" s="282"/>
      <c r="Z77" s="282"/>
      <c r="AA77" s="282"/>
      <c r="AB77" s="282"/>
      <c r="AC77" s="282"/>
      <c r="AD77" s="282"/>
      <c r="AE77" s="282"/>
      <c r="AF77" s="282"/>
      <c r="AG77" s="5" t="s">
        <v>642</v>
      </c>
      <c r="AH77" s="5"/>
      <c r="AI77" s="5"/>
      <c r="AJ77" s="5"/>
      <c r="AK77" s="5"/>
      <c r="AL77" s="5" t="s">
        <v>640</v>
      </c>
    </row>
    <row r="78" spans="4:38" ht="21" customHeight="1" x14ac:dyDescent="0.3">
      <c r="D78" s="504"/>
      <c r="E78" s="504"/>
      <c r="F78" s="504"/>
      <c r="G78" s="504"/>
      <c r="H78" s="256"/>
      <c r="I78" s="282"/>
      <c r="J78" s="294"/>
      <c r="K78" s="5" t="s">
        <v>1259</v>
      </c>
      <c r="L78" s="5">
        <v>656</v>
      </c>
      <c r="M78" s="282"/>
      <c r="N78" s="5" t="s">
        <v>577</v>
      </c>
      <c r="O78" s="5"/>
      <c r="P78" s="5"/>
      <c r="Q78" s="294"/>
      <c r="R78" s="294"/>
      <c r="S78" s="294"/>
      <c r="T78" s="294"/>
      <c r="U78" s="294"/>
      <c r="V78" s="294"/>
      <c r="W78" s="282"/>
      <c r="X78" s="282"/>
      <c r="Y78" s="282"/>
      <c r="Z78" s="282"/>
      <c r="AA78" s="282"/>
      <c r="AB78" s="282"/>
      <c r="AC78" s="282"/>
      <c r="AD78" s="282"/>
      <c r="AE78" s="282"/>
      <c r="AF78" s="282"/>
      <c r="AG78" s="5" t="s">
        <v>643</v>
      </c>
      <c r="AH78" s="5"/>
      <c r="AI78" s="5"/>
      <c r="AJ78" s="5"/>
      <c r="AK78" s="5"/>
      <c r="AL78" s="5" t="s">
        <v>640</v>
      </c>
    </row>
    <row r="79" spans="4:38" ht="21" customHeight="1" x14ac:dyDescent="0.3">
      <c r="D79" s="504"/>
      <c r="E79" s="504"/>
      <c r="F79" s="504"/>
      <c r="G79" s="504"/>
      <c r="H79" s="256"/>
      <c r="I79" s="282"/>
      <c r="J79" s="294"/>
      <c r="K79" s="5" t="s">
        <v>1260</v>
      </c>
      <c r="L79" s="5">
        <v>143</v>
      </c>
      <c r="M79" s="282"/>
      <c r="N79" s="5" t="s">
        <v>578</v>
      </c>
      <c r="O79" s="5"/>
      <c r="P79" s="5"/>
      <c r="Q79" s="294"/>
      <c r="R79" s="294"/>
      <c r="S79" s="294"/>
      <c r="T79" s="294"/>
      <c r="U79" s="294"/>
      <c r="V79" s="294"/>
      <c r="W79" s="282"/>
      <c r="X79" s="282"/>
      <c r="Y79" s="282"/>
      <c r="Z79" s="282"/>
      <c r="AA79" s="282"/>
      <c r="AB79" s="282"/>
      <c r="AC79" s="282"/>
      <c r="AD79" s="282"/>
      <c r="AE79" s="282"/>
      <c r="AF79" s="282"/>
      <c r="AG79" s="5" t="s">
        <v>644</v>
      </c>
      <c r="AH79" s="5"/>
      <c r="AI79" s="5"/>
      <c r="AJ79" s="5"/>
      <c r="AK79" s="5"/>
      <c r="AL79" s="5" t="s">
        <v>640</v>
      </c>
    </row>
    <row r="80" spans="4:38" ht="21.6" customHeight="1" x14ac:dyDescent="0.3">
      <c r="D80" s="504"/>
      <c r="E80" s="504"/>
      <c r="F80" s="504"/>
      <c r="G80" s="504"/>
      <c r="H80" s="256"/>
      <c r="I80" s="282"/>
      <c r="J80" s="294"/>
      <c r="K80" s="6" t="s">
        <v>579</v>
      </c>
      <c r="L80" s="5"/>
      <c r="M80" s="282"/>
      <c r="N80" s="5"/>
      <c r="O80" s="5"/>
      <c r="P80" s="5"/>
      <c r="Q80" s="294"/>
      <c r="R80" s="294"/>
      <c r="S80" s="294"/>
      <c r="T80" s="294"/>
      <c r="U80" s="294"/>
      <c r="V80" s="294"/>
      <c r="W80" s="282"/>
      <c r="X80" s="282"/>
      <c r="Y80" s="282"/>
      <c r="Z80" s="282"/>
      <c r="AA80" s="282"/>
      <c r="AB80" s="282"/>
      <c r="AC80" s="282"/>
      <c r="AD80" s="282"/>
      <c r="AE80" s="282"/>
      <c r="AF80" s="282"/>
      <c r="AG80" s="147" t="s">
        <v>645</v>
      </c>
      <c r="AH80" s="147" t="s">
        <v>260</v>
      </c>
      <c r="AI80" s="147" t="s">
        <v>260</v>
      </c>
      <c r="AJ80" s="147"/>
      <c r="AK80" s="147" t="s">
        <v>559</v>
      </c>
      <c r="AL80" s="147" t="s">
        <v>560</v>
      </c>
    </row>
  </sheetData>
  <mergeCells count="96">
    <mergeCell ref="R48:R80"/>
    <mergeCell ref="D4:R4"/>
    <mergeCell ref="D9:D80"/>
    <mergeCell ref="E9:E80"/>
    <mergeCell ref="F9:F80"/>
    <mergeCell ref="G9:G80"/>
    <mergeCell ref="D6:D8"/>
    <mergeCell ref="E6:E8"/>
    <mergeCell ref="F6:F8"/>
    <mergeCell ref="G6:G8"/>
    <mergeCell ref="D5:J5"/>
    <mergeCell ref="Q29:Q47"/>
    <mergeCell ref="Q6:R6"/>
    <mergeCell ref="J6:J8"/>
    <mergeCell ref="J9:J47"/>
    <mergeCell ref="J48:J80"/>
    <mergeCell ref="Q48:Q80"/>
    <mergeCell ref="BU5:BU7"/>
    <mergeCell ref="BL5:BT6"/>
    <mergeCell ref="AO5:AO8"/>
    <mergeCell ref="AG5:AL6"/>
    <mergeCell ref="Y5:AF6"/>
    <mergeCell ref="BQ7:BR7"/>
    <mergeCell ref="AW6:AZ7"/>
    <mergeCell ref="BA6:BA7"/>
    <mergeCell ref="BB6:BD7"/>
    <mergeCell ref="BS7:BT7"/>
    <mergeCell ref="AE7:AF7"/>
    <mergeCell ref="AH7:AJ7"/>
    <mergeCell ref="AK7:AL7"/>
    <mergeCell ref="BL7:BL8"/>
    <mergeCell ref="BM7:BN7"/>
    <mergeCell ref="BO7:BP7"/>
    <mergeCell ref="T9:T28"/>
    <mergeCell ref="W48:W80"/>
    <mergeCell ref="X48:X80"/>
    <mergeCell ref="Y48:AD80"/>
    <mergeCell ref="AE48:AF80"/>
    <mergeCell ref="AE9:AF47"/>
    <mergeCell ref="X9:X47"/>
    <mergeCell ref="U9:U47"/>
    <mergeCell ref="V9:V47"/>
    <mergeCell ref="W9:W47"/>
    <mergeCell ref="AA7:AB7"/>
    <mergeCell ref="BG6:BH7"/>
    <mergeCell ref="BI6:BJ7"/>
    <mergeCell ref="H9:H80"/>
    <mergeCell ref="I9:I47"/>
    <mergeCell ref="M9:M47"/>
    <mergeCell ref="I48:I80"/>
    <mergeCell ref="M48:M80"/>
    <mergeCell ref="S48:S80"/>
    <mergeCell ref="T48:T80"/>
    <mergeCell ref="U48:U80"/>
    <mergeCell ref="V48:V80"/>
    <mergeCell ref="T29:T47"/>
    <mergeCell ref="Q9:Q28"/>
    <mergeCell ref="R9:R47"/>
    <mergeCell ref="S9:S47"/>
    <mergeCell ref="BK6:BK8"/>
    <mergeCell ref="L7:M7"/>
    <mergeCell ref="N7:N8"/>
    <mergeCell ref="O7:O8"/>
    <mergeCell ref="Q7:Q8"/>
    <mergeCell ref="R7:R8"/>
    <mergeCell ref="U7:V7"/>
    <mergeCell ref="T6:T8"/>
    <mergeCell ref="U6:W6"/>
    <mergeCell ref="X6:X8"/>
    <mergeCell ref="AT5:AT8"/>
    <mergeCell ref="AU5:AV8"/>
    <mergeCell ref="S5:W5"/>
    <mergeCell ref="L6:O6"/>
    <mergeCell ref="W7:W8"/>
    <mergeCell ref="BE6:BF8"/>
    <mergeCell ref="BE5:BJ5"/>
    <mergeCell ref="H6:I8"/>
    <mergeCell ref="K6:K8"/>
    <mergeCell ref="AP5:AP8"/>
    <mergeCell ref="AQ5:AQ8"/>
    <mergeCell ref="AR5:AR8"/>
    <mergeCell ref="AS5:AS8"/>
    <mergeCell ref="S6:S8"/>
    <mergeCell ref="K5:R5"/>
    <mergeCell ref="AC7:AD7"/>
    <mergeCell ref="AW5:AZ5"/>
    <mergeCell ref="BA5:BD5"/>
    <mergeCell ref="Y7:Z7"/>
    <mergeCell ref="V2:AE2"/>
    <mergeCell ref="AS2:BA2"/>
    <mergeCell ref="AO3:BU3"/>
    <mergeCell ref="S4:W4"/>
    <mergeCell ref="Y4:AL4"/>
    <mergeCell ref="AW4:BD4"/>
    <mergeCell ref="BE4:BJ4"/>
    <mergeCell ref="BL4:BU4"/>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6AB6D-A6FC-4C22-8158-768F72F9543C}">
  <sheetPr>
    <tabColor rgb="FFFFC000"/>
  </sheetPr>
  <dimension ref="B1:BO194"/>
  <sheetViews>
    <sheetView topLeftCell="M76" zoomScale="60" zoomScaleNormal="60" workbookViewId="0">
      <selection activeCell="AI119" sqref="AI119"/>
    </sheetView>
  </sheetViews>
  <sheetFormatPr defaultColWidth="8.88671875" defaultRowHeight="14.4" x14ac:dyDescent="0.3"/>
  <cols>
    <col min="1" max="1" width="8.88671875" style="1"/>
    <col min="2" max="5" width="74.109375" style="1" customWidth="1"/>
    <col min="6" max="6" width="13" style="1" bestFit="1" customWidth="1"/>
    <col min="7" max="7" width="28" style="1" bestFit="1" customWidth="1"/>
    <col min="8" max="9" width="28" style="1" customWidth="1"/>
    <col min="10" max="10" width="27.109375" style="1" customWidth="1"/>
    <col min="11" max="11" width="30.6640625" style="1" bestFit="1" customWidth="1"/>
    <col min="12" max="12" width="21.44140625" style="1" customWidth="1"/>
    <col min="13" max="13" width="15.109375" style="1" customWidth="1"/>
    <col min="14" max="14" width="26.33203125" style="1" customWidth="1"/>
    <col min="15" max="15" width="15.109375" style="1" customWidth="1"/>
    <col min="16" max="17" width="25.33203125" style="1" customWidth="1"/>
    <col min="18" max="19" width="59.6640625" style="1" customWidth="1"/>
    <col min="20" max="20" width="15.88671875" style="1" bestFit="1" customWidth="1"/>
    <col min="21" max="21" width="16.88671875" style="1" bestFit="1" customWidth="1"/>
    <col min="22" max="22" width="27" style="1" bestFit="1" customWidth="1"/>
    <col min="23" max="23" width="39.44140625" style="1" bestFit="1" customWidth="1"/>
    <col min="24" max="28" width="12.5546875" style="1" customWidth="1"/>
    <col min="29" max="29" width="10.33203125" style="1" bestFit="1" customWidth="1"/>
    <col min="30" max="30" width="10.6640625" style="61" customWidth="1"/>
    <col min="31" max="31" width="18.109375" style="61" customWidth="1"/>
    <col min="32" max="32" width="54.5546875" style="1" customWidth="1"/>
    <col min="33" max="33" width="17.88671875" style="1" customWidth="1"/>
    <col min="34" max="35" width="20.109375" style="1" customWidth="1"/>
    <col min="36" max="36" width="20.44140625" style="1" customWidth="1"/>
    <col min="37" max="37" width="19.33203125" style="1" customWidth="1"/>
    <col min="38" max="39" width="8.88671875" style="1"/>
    <col min="40" max="40" width="24" style="1" bestFit="1" customWidth="1"/>
    <col min="41" max="41" width="26.6640625" style="1" bestFit="1" customWidth="1"/>
    <col min="42" max="42" width="18.6640625" style="1" bestFit="1" customWidth="1"/>
    <col min="43" max="43" width="18.6640625" style="1" customWidth="1"/>
    <col min="44" max="45" width="19.88671875" style="1" customWidth="1"/>
    <col min="46" max="46" width="30.6640625" style="1" bestFit="1" customWidth="1"/>
    <col min="47" max="47" width="30.6640625" style="1" customWidth="1"/>
    <col min="48" max="48" width="37.33203125" style="1" bestFit="1" customWidth="1"/>
    <col min="49" max="50" width="37.33203125" style="1" customWidth="1"/>
    <col min="51" max="51" width="31.6640625" style="1" bestFit="1" customWidth="1"/>
    <col min="52" max="52" width="31.6640625" style="1" customWidth="1"/>
    <col min="53" max="53" width="16.109375" style="1" customWidth="1"/>
    <col min="54" max="54" width="15.109375" style="1" bestFit="1" customWidth="1"/>
    <col min="55" max="55" width="28.109375" style="1" bestFit="1" customWidth="1"/>
    <col min="56" max="56" width="17.33203125" style="1" bestFit="1" customWidth="1"/>
    <col min="57" max="57" width="17.44140625" style="1" customWidth="1"/>
    <col min="58" max="65" width="8.88671875" style="1"/>
    <col min="66" max="66" width="81.44140625" style="1" bestFit="1" customWidth="1"/>
    <col min="67" max="67" width="14.88671875" style="1" customWidth="1"/>
    <col min="68" max="16384" width="8.88671875" style="1"/>
  </cols>
  <sheetData>
    <row r="1" spans="2:67" x14ac:dyDescent="0.3">
      <c r="AD1" s="1"/>
      <c r="AE1" s="1"/>
    </row>
    <row r="2" spans="2:67" x14ac:dyDescent="0.3">
      <c r="R2" s="1" t="s">
        <v>5</v>
      </c>
      <c r="U2" s="227"/>
      <c r="V2" s="227"/>
      <c r="W2" s="227"/>
      <c r="X2" s="227"/>
      <c r="Y2" s="227"/>
      <c r="Z2" s="227"/>
      <c r="AA2" s="227"/>
      <c r="AB2" s="227"/>
      <c r="AC2" s="227"/>
      <c r="AD2" s="227"/>
      <c r="AE2" s="1"/>
    </row>
    <row r="3" spans="2:67" x14ac:dyDescent="0.3">
      <c r="AD3" s="1"/>
      <c r="AE3" s="1"/>
    </row>
    <row r="4" spans="2:67" ht="22.95" customHeight="1" x14ac:dyDescent="0.3">
      <c r="B4" s="523" t="s">
        <v>1189</v>
      </c>
      <c r="C4" s="523"/>
      <c r="D4" s="523"/>
      <c r="E4" s="523"/>
      <c r="F4" s="523"/>
      <c r="G4" s="523"/>
      <c r="H4" s="523"/>
      <c r="I4" s="523"/>
      <c r="J4" s="523"/>
      <c r="K4" s="523"/>
      <c r="L4" s="523"/>
      <c r="M4" s="523"/>
      <c r="N4" s="523"/>
      <c r="O4" s="523"/>
      <c r="P4" s="523"/>
      <c r="Q4" s="523"/>
      <c r="R4" s="534" t="s">
        <v>22</v>
      </c>
      <c r="S4" s="534"/>
      <c r="T4" s="523"/>
      <c r="U4" s="523"/>
      <c r="V4" s="523"/>
      <c r="W4" s="88" t="s">
        <v>992</v>
      </c>
      <c r="X4" s="523" t="s">
        <v>66</v>
      </c>
      <c r="Y4" s="523"/>
      <c r="Z4" s="523"/>
      <c r="AA4" s="523"/>
      <c r="AB4" s="523"/>
      <c r="AC4" s="523"/>
      <c r="AD4" s="523"/>
      <c r="AE4" s="523"/>
      <c r="AF4" s="523"/>
      <c r="AG4" s="523"/>
      <c r="AH4" s="523"/>
      <c r="AI4" s="523"/>
      <c r="AJ4" s="523"/>
      <c r="AK4" s="523"/>
    </row>
    <row r="5" spans="2:67" ht="22.95" customHeight="1" x14ac:dyDescent="0.3">
      <c r="B5" s="429" t="s">
        <v>1119</v>
      </c>
      <c r="C5" s="429"/>
      <c r="D5" s="429"/>
      <c r="E5" s="429"/>
      <c r="F5" s="535" t="s">
        <v>1124</v>
      </c>
      <c r="G5" s="545"/>
      <c r="H5" s="545"/>
      <c r="I5" s="545"/>
      <c r="J5" s="545"/>
      <c r="K5" s="545"/>
      <c r="L5" s="545"/>
      <c r="M5" s="545"/>
      <c r="N5" s="545"/>
      <c r="O5" s="545"/>
      <c r="P5" s="545"/>
      <c r="Q5" s="536"/>
      <c r="R5" s="533" t="s">
        <v>67</v>
      </c>
      <c r="S5" s="533"/>
      <c r="T5" s="533"/>
      <c r="U5" s="533"/>
      <c r="V5" s="533"/>
      <c r="W5" s="64" t="s">
        <v>1006</v>
      </c>
      <c r="X5" s="429" t="s">
        <v>429</v>
      </c>
      <c r="Y5" s="429"/>
      <c r="Z5" s="429"/>
      <c r="AA5" s="429"/>
      <c r="AB5" s="429"/>
      <c r="AC5" s="429"/>
      <c r="AD5" s="429"/>
      <c r="AE5" s="429"/>
      <c r="AF5" s="429" t="s">
        <v>68</v>
      </c>
      <c r="AG5" s="429"/>
      <c r="AH5" s="429"/>
      <c r="AI5" s="429"/>
      <c r="AJ5" s="429"/>
      <c r="AK5" s="429"/>
    </row>
    <row r="6" spans="2:67" ht="37.200000000000003" customHeight="1" x14ac:dyDescent="0.3">
      <c r="B6" s="535" t="s">
        <v>1126</v>
      </c>
      <c r="C6" s="533" t="s">
        <v>1120</v>
      </c>
      <c r="D6" s="536" t="s">
        <v>1121</v>
      </c>
      <c r="E6" s="533" t="s">
        <v>1122</v>
      </c>
      <c r="F6" s="526" t="s">
        <v>4</v>
      </c>
      <c r="G6" s="527"/>
      <c r="H6" s="526" t="s">
        <v>1123</v>
      </c>
      <c r="I6" s="527"/>
      <c r="J6" s="429" t="s">
        <v>70</v>
      </c>
      <c r="K6" s="530" t="s">
        <v>20</v>
      </c>
      <c r="L6" s="533" t="s">
        <v>21</v>
      </c>
      <c r="M6" s="533"/>
      <c r="N6" s="533"/>
      <c r="O6" s="533"/>
      <c r="P6" s="429" t="s">
        <v>69</v>
      </c>
      <c r="Q6" s="429"/>
      <c r="R6" s="429" t="s">
        <v>71</v>
      </c>
      <c r="S6" s="429" t="s">
        <v>997</v>
      </c>
      <c r="T6" s="429" t="s">
        <v>24</v>
      </c>
      <c r="U6" s="429"/>
      <c r="V6" s="429"/>
      <c r="W6" s="429" t="s">
        <v>1091</v>
      </c>
      <c r="X6" s="429"/>
      <c r="Y6" s="429"/>
      <c r="Z6" s="429"/>
      <c r="AA6" s="429"/>
      <c r="AB6" s="429"/>
      <c r="AC6" s="429"/>
      <c r="AD6" s="429"/>
      <c r="AE6" s="429"/>
      <c r="AF6" s="429"/>
      <c r="AG6" s="429"/>
      <c r="AH6" s="429"/>
      <c r="AI6" s="429"/>
      <c r="AJ6" s="429"/>
      <c r="AK6" s="429"/>
    </row>
    <row r="7" spans="2:67" ht="37.200000000000003" customHeight="1" x14ac:dyDescent="0.3">
      <c r="B7" s="535"/>
      <c r="C7" s="533"/>
      <c r="D7" s="536"/>
      <c r="E7" s="533"/>
      <c r="F7" s="528"/>
      <c r="G7" s="529"/>
      <c r="H7" s="528"/>
      <c r="I7" s="529"/>
      <c r="J7" s="429"/>
      <c r="K7" s="531"/>
      <c r="L7" s="429" t="s">
        <v>72</v>
      </c>
      <c r="M7" s="429"/>
      <c r="N7" s="310" t="s">
        <v>73</v>
      </c>
      <c r="O7" s="429" t="s">
        <v>1199</v>
      </c>
      <c r="P7" s="429" t="s">
        <v>1151</v>
      </c>
      <c r="Q7" s="429" t="s">
        <v>1087</v>
      </c>
      <c r="R7" s="429"/>
      <c r="S7" s="429"/>
      <c r="T7" s="429" t="s">
        <v>1046</v>
      </c>
      <c r="U7" s="429"/>
      <c r="V7" s="533" t="s">
        <v>14</v>
      </c>
      <c r="W7" s="429"/>
      <c r="X7" s="310" t="s">
        <v>17</v>
      </c>
      <c r="Y7" s="310"/>
      <c r="Z7" s="310" t="s">
        <v>18</v>
      </c>
      <c r="AA7" s="310"/>
      <c r="AB7" s="310" t="s">
        <v>19</v>
      </c>
      <c r="AC7" s="310"/>
      <c r="AD7" s="523" t="s">
        <v>667</v>
      </c>
      <c r="AE7" s="523"/>
      <c r="AF7" s="49" t="s">
        <v>174</v>
      </c>
      <c r="AG7" s="310" t="s">
        <v>175</v>
      </c>
      <c r="AH7" s="310"/>
      <c r="AI7" s="310"/>
      <c r="AJ7" s="310" t="s">
        <v>176</v>
      </c>
      <c r="AK7" s="310"/>
    </row>
    <row r="8" spans="2:67" ht="15" thickBot="1" x14ac:dyDescent="0.35">
      <c r="B8" s="535"/>
      <c r="C8" s="533"/>
      <c r="D8" s="536"/>
      <c r="E8" s="533"/>
      <c r="F8" s="543"/>
      <c r="G8" s="544"/>
      <c r="H8" s="528"/>
      <c r="I8" s="529"/>
      <c r="J8" s="429"/>
      <c r="K8" s="532"/>
      <c r="L8" s="64" t="s">
        <v>1198</v>
      </c>
      <c r="M8" s="81" t="s">
        <v>1057</v>
      </c>
      <c r="N8" s="310"/>
      <c r="O8" s="429"/>
      <c r="P8" s="429"/>
      <c r="Q8" s="429"/>
      <c r="R8" s="429"/>
      <c r="S8" s="429"/>
      <c r="T8" s="81" t="s">
        <v>15</v>
      </c>
      <c r="U8" s="81" t="s">
        <v>16</v>
      </c>
      <c r="V8" s="533"/>
      <c r="W8" s="429"/>
      <c r="X8" s="64" t="s">
        <v>2</v>
      </c>
      <c r="Y8" s="64" t="s">
        <v>3</v>
      </c>
      <c r="Z8" s="64" t="s">
        <v>2</v>
      </c>
      <c r="AA8" s="64" t="s">
        <v>3</v>
      </c>
      <c r="AB8" s="64" t="s">
        <v>2</v>
      </c>
      <c r="AC8" s="64" t="s">
        <v>3</v>
      </c>
      <c r="AD8" s="523" t="s">
        <v>2</v>
      </c>
      <c r="AE8" s="523" t="s">
        <v>3</v>
      </c>
      <c r="AF8" s="64" t="s">
        <v>179</v>
      </c>
      <c r="AG8" s="64" t="s">
        <v>177</v>
      </c>
      <c r="AH8" s="64" t="s">
        <v>178</v>
      </c>
      <c r="AI8" s="64" t="s">
        <v>1057</v>
      </c>
      <c r="AJ8" s="64" t="s">
        <v>177</v>
      </c>
      <c r="AK8" s="64" t="s">
        <v>178</v>
      </c>
    </row>
    <row r="9" spans="2:67" ht="14.4" customHeight="1" x14ac:dyDescent="0.3">
      <c r="B9" s="505">
        <v>18</v>
      </c>
      <c r="C9" s="505" t="s">
        <v>1128</v>
      </c>
      <c r="D9" s="505" t="s">
        <v>1127</v>
      </c>
      <c r="E9" s="505" t="s">
        <v>1188</v>
      </c>
      <c r="F9" s="82"/>
      <c r="G9" s="82"/>
      <c r="H9" s="510" t="s">
        <v>647</v>
      </c>
      <c r="I9" s="329" t="s">
        <v>923</v>
      </c>
      <c r="J9" s="312" t="s">
        <v>1039</v>
      </c>
      <c r="K9" s="10" t="s">
        <v>648</v>
      </c>
      <c r="L9" s="43">
        <v>76</v>
      </c>
      <c r="M9" s="389" t="s">
        <v>1064</v>
      </c>
      <c r="N9" s="43" t="s">
        <v>76</v>
      </c>
      <c r="O9" s="43">
        <v>10</v>
      </c>
      <c r="P9" s="312" t="s">
        <v>1060</v>
      </c>
      <c r="Q9" s="312" t="s">
        <v>845</v>
      </c>
      <c r="R9" s="344" t="s">
        <v>1089</v>
      </c>
      <c r="S9" s="344" t="s">
        <v>1000</v>
      </c>
      <c r="T9" s="312" t="s">
        <v>669</v>
      </c>
      <c r="U9" s="312" t="s">
        <v>670</v>
      </c>
      <c r="V9" s="389" t="s">
        <v>993</v>
      </c>
      <c r="W9" s="426" t="s">
        <v>1092</v>
      </c>
      <c r="X9" s="329" t="s">
        <v>668</v>
      </c>
      <c r="Y9" s="329"/>
      <c r="Z9" s="329"/>
      <c r="AA9" s="329"/>
      <c r="AB9" s="329"/>
      <c r="AC9" s="329"/>
      <c r="AD9" s="10" t="s">
        <v>150</v>
      </c>
      <c r="AE9" s="10" t="s">
        <v>150</v>
      </c>
      <c r="AF9" s="43" t="s">
        <v>671</v>
      </c>
      <c r="AG9" s="43" t="s">
        <v>473</v>
      </c>
      <c r="AH9" s="43" t="s">
        <v>473</v>
      </c>
      <c r="AI9" s="43"/>
      <c r="AJ9" s="43" t="s">
        <v>672</v>
      </c>
      <c r="AK9" s="44" t="s">
        <v>672</v>
      </c>
    </row>
    <row r="10" spans="2:67" x14ac:dyDescent="0.3">
      <c r="B10" s="506"/>
      <c r="C10" s="506"/>
      <c r="D10" s="506"/>
      <c r="E10" s="506"/>
      <c r="F10" s="82"/>
      <c r="G10" s="82"/>
      <c r="H10" s="511"/>
      <c r="I10" s="330"/>
      <c r="J10" s="313"/>
      <c r="K10" s="10" t="s">
        <v>75</v>
      </c>
      <c r="L10" s="10">
        <v>135</v>
      </c>
      <c r="M10" s="390"/>
      <c r="N10" s="10" t="s">
        <v>76</v>
      </c>
      <c r="O10" s="10">
        <v>29</v>
      </c>
      <c r="P10" s="313"/>
      <c r="Q10" s="313"/>
      <c r="R10" s="313"/>
      <c r="S10" s="313"/>
      <c r="T10" s="313"/>
      <c r="U10" s="313"/>
      <c r="V10" s="390"/>
      <c r="W10" s="454"/>
      <c r="X10" s="330"/>
      <c r="Y10" s="330"/>
      <c r="Z10" s="330"/>
      <c r="AA10" s="330"/>
      <c r="AB10" s="330"/>
      <c r="AC10" s="330"/>
      <c r="AD10" s="10" t="s">
        <v>150</v>
      </c>
      <c r="AE10" s="10" t="s">
        <v>150</v>
      </c>
      <c r="AF10" s="10" t="s">
        <v>673</v>
      </c>
      <c r="AG10" s="10" t="s">
        <v>674</v>
      </c>
      <c r="AH10" s="10" t="s">
        <v>675</v>
      </c>
      <c r="AI10" s="10"/>
      <c r="AJ10" s="10" t="s">
        <v>446</v>
      </c>
      <c r="AK10" s="45" t="s">
        <v>676</v>
      </c>
    </row>
    <row r="11" spans="2:67" x14ac:dyDescent="0.3">
      <c r="B11" s="506"/>
      <c r="C11" s="506"/>
      <c r="D11" s="506"/>
      <c r="E11" s="506"/>
      <c r="F11" s="82"/>
      <c r="G11" s="82"/>
      <c r="H11" s="511"/>
      <c r="I11" s="330"/>
      <c r="J11" s="313"/>
      <c r="K11" s="10" t="s">
        <v>77</v>
      </c>
      <c r="L11" s="10">
        <v>5</v>
      </c>
      <c r="M11" s="390"/>
      <c r="N11" s="10" t="s">
        <v>76</v>
      </c>
      <c r="O11" s="10">
        <v>2</v>
      </c>
      <c r="P11" s="313"/>
      <c r="Q11" s="313"/>
      <c r="R11" s="313"/>
      <c r="S11" s="313"/>
      <c r="T11" s="313"/>
      <c r="U11" s="313"/>
      <c r="V11" s="390"/>
      <c r="W11" s="454"/>
      <c r="X11" s="330"/>
      <c r="Y11" s="330"/>
      <c r="Z11" s="330"/>
      <c r="AA11" s="330"/>
      <c r="AB11" s="330"/>
      <c r="AC11" s="330"/>
      <c r="AD11" s="10" t="s">
        <v>150</v>
      </c>
      <c r="AE11" s="10" t="s">
        <v>150</v>
      </c>
      <c r="AF11" s="10" t="s">
        <v>612</v>
      </c>
      <c r="AG11" s="10" t="s">
        <v>677</v>
      </c>
      <c r="AH11" s="10" t="s">
        <v>678</v>
      </c>
      <c r="AI11" s="10"/>
      <c r="AJ11" s="10" t="s">
        <v>186</v>
      </c>
      <c r="AK11" s="45" t="s">
        <v>187</v>
      </c>
      <c r="AO11" s="227"/>
      <c r="AP11" s="227"/>
      <c r="AQ11" s="227"/>
      <c r="AR11" s="227"/>
      <c r="AS11" s="227"/>
      <c r="AT11" s="227"/>
      <c r="AU11" s="227"/>
    </row>
    <row r="12" spans="2:67" x14ac:dyDescent="0.3">
      <c r="B12" s="506"/>
      <c r="C12" s="506"/>
      <c r="D12" s="506"/>
      <c r="E12" s="506"/>
      <c r="F12" s="82"/>
      <c r="G12" s="82"/>
      <c r="H12" s="511"/>
      <c r="I12" s="330"/>
      <c r="J12" s="313"/>
      <c r="K12" s="10" t="s">
        <v>361</v>
      </c>
      <c r="L12" s="10">
        <v>3620</v>
      </c>
      <c r="M12" s="390"/>
      <c r="N12" s="10" t="s">
        <v>76</v>
      </c>
      <c r="O12" s="10">
        <v>150</v>
      </c>
      <c r="P12" s="313"/>
      <c r="Q12" s="313"/>
      <c r="R12" s="313"/>
      <c r="S12" s="313"/>
      <c r="T12" s="313"/>
      <c r="U12" s="313"/>
      <c r="V12" s="390"/>
      <c r="W12" s="454"/>
      <c r="X12" s="330"/>
      <c r="Y12" s="330"/>
      <c r="Z12" s="330"/>
      <c r="AA12" s="330"/>
      <c r="AB12" s="330"/>
      <c r="AC12" s="330"/>
      <c r="AD12" s="10" t="s">
        <v>150</v>
      </c>
      <c r="AE12" s="10" t="s">
        <v>150</v>
      </c>
      <c r="AF12" s="10" t="s">
        <v>347</v>
      </c>
      <c r="AG12" s="10" t="s">
        <v>679</v>
      </c>
      <c r="AH12" s="10" t="s">
        <v>680</v>
      </c>
      <c r="AI12" s="10"/>
      <c r="AJ12" s="10" t="s">
        <v>681</v>
      </c>
      <c r="AK12" s="45" t="s">
        <v>682</v>
      </c>
      <c r="AO12" s="508" t="s">
        <v>1232</v>
      </c>
      <c r="AP12" s="508"/>
      <c r="AQ12" s="509"/>
      <c r="AR12" s="509"/>
      <c r="AS12" s="509"/>
      <c r="AT12" s="509"/>
      <c r="AU12" s="509"/>
      <c r="AV12" s="509"/>
      <c r="AW12" s="509"/>
      <c r="AX12" s="509"/>
      <c r="AY12" s="509"/>
      <c r="AZ12" s="509"/>
      <c r="BA12" s="509"/>
      <c r="BB12" s="509"/>
      <c r="BC12" s="509"/>
      <c r="BD12" s="509"/>
      <c r="BE12" s="509"/>
      <c r="BF12" s="509"/>
      <c r="BG12" s="509"/>
      <c r="BH12" s="509"/>
      <c r="BI12" s="509"/>
      <c r="BJ12" s="509"/>
      <c r="BK12" s="509"/>
      <c r="BL12" s="509"/>
      <c r="BM12" s="509"/>
      <c r="BN12" s="509"/>
      <c r="BO12" s="509"/>
    </row>
    <row r="13" spans="2:67" x14ac:dyDescent="0.3">
      <c r="B13" s="506"/>
      <c r="C13" s="506"/>
      <c r="D13" s="506"/>
      <c r="E13" s="506"/>
      <c r="F13" s="82"/>
      <c r="G13" s="82"/>
      <c r="H13" s="511"/>
      <c r="I13" s="330"/>
      <c r="J13" s="313"/>
      <c r="K13" s="10" t="s">
        <v>649</v>
      </c>
      <c r="L13" s="10">
        <v>123</v>
      </c>
      <c r="M13" s="390"/>
      <c r="N13" s="10" t="s">
        <v>76</v>
      </c>
      <c r="O13" s="10">
        <v>20</v>
      </c>
      <c r="P13" s="313"/>
      <c r="Q13" s="313"/>
      <c r="R13" s="313"/>
      <c r="S13" s="313"/>
      <c r="T13" s="313"/>
      <c r="U13" s="313"/>
      <c r="V13" s="390"/>
      <c r="W13" s="454"/>
      <c r="X13" s="330"/>
      <c r="Y13" s="330"/>
      <c r="Z13" s="330"/>
      <c r="AA13" s="330"/>
      <c r="AB13" s="330"/>
      <c r="AC13" s="330"/>
      <c r="AD13" s="10" t="s">
        <v>150</v>
      </c>
      <c r="AE13" s="10" t="s">
        <v>150</v>
      </c>
      <c r="AF13" s="10" t="s">
        <v>683</v>
      </c>
      <c r="AG13" s="10" t="s">
        <v>684</v>
      </c>
      <c r="AH13" s="10" t="s">
        <v>685</v>
      </c>
      <c r="AI13" s="10"/>
      <c r="AJ13" s="10" t="s">
        <v>682</v>
      </c>
      <c r="AK13" s="45" t="s">
        <v>686</v>
      </c>
      <c r="AQ13" s="262" t="s">
        <v>1085</v>
      </c>
      <c r="AR13" s="263"/>
      <c r="AS13" s="263"/>
      <c r="AT13" s="263"/>
      <c r="AU13" s="263"/>
      <c r="AV13" s="263"/>
      <c r="AW13" s="263"/>
      <c r="AX13" s="263"/>
      <c r="AY13" s="264" t="s">
        <v>22</v>
      </c>
      <c r="AZ13" s="264"/>
      <c r="BA13" s="264"/>
      <c r="BB13" s="264"/>
      <c r="BC13" s="264"/>
      <c r="BD13" s="264"/>
      <c r="BE13" s="76" t="s">
        <v>992</v>
      </c>
      <c r="BF13" s="265" t="s">
        <v>66</v>
      </c>
      <c r="BG13" s="265"/>
      <c r="BH13" s="265"/>
      <c r="BI13" s="265"/>
      <c r="BJ13" s="265"/>
      <c r="BK13" s="265"/>
      <c r="BL13" s="265"/>
      <c r="BM13" s="265"/>
      <c r="BN13" s="265"/>
      <c r="BO13" s="265"/>
    </row>
    <row r="14" spans="2:67" x14ac:dyDescent="0.3">
      <c r="B14" s="506"/>
      <c r="C14" s="506"/>
      <c r="D14" s="506"/>
      <c r="E14" s="506"/>
      <c r="F14" s="82"/>
      <c r="G14" s="82"/>
      <c r="H14" s="511"/>
      <c r="I14" s="330"/>
      <c r="J14" s="313"/>
      <c r="K14" s="10" t="s">
        <v>362</v>
      </c>
      <c r="L14" s="10" t="s">
        <v>650</v>
      </c>
      <c r="M14" s="390"/>
      <c r="N14" s="10" t="s">
        <v>375</v>
      </c>
      <c r="O14" s="10">
        <v>1</v>
      </c>
      <c r="P14" s="313"/>
      <c r="Q14" s="313"/>
      <c r="R14" s="313"/>
      <c r="S14" s="313"/>
      <c r="T14" s="313"/>
      <c r="U14" s="313"/>
      <c r="V14" s="390"/>
      <c r="W14" s="454"/>
      <c r="X14" s="330"/>
      <c r="Y14" s="330"/>
      <c r="Z14" s="330"/>
      <c r="AA14" s="330"/>
      <c r="AB14" s="330"/>
      <c r="AC14" s="330"/>
      <c r="AD14" s="10" t="s">
        <v>150</v>
      </c>
      <c r="AE14" s="217">
        <v>5.3499999999999999E-4</v>
      </c>
      <c r="AF14" s="10" t="s">
        <v>688</v>
      </c>
      <c r="AG14" s="10" t="s">
        <v>689</v>
      </c>
      <c r="AH14" s="10" t="s">
        <v>690</v>
      </c>
      <c r="AI14" s="10"/>
      <c r="AJ14" s="10" t="s">
        <v>691</v>
      </c>
      <c r="AK14" s="45" t="s">
        <v>692</v>
      </c>
      <c r="AO14" s="274" t="s">
        <v>4</v>
      </c>
      <c r="AP14" s="274"/>
      <c r="AQ14" s="280" t="s">
        <v>1005</v>
      </c>
      <c r="AR14" s="280"/>
      <c r="AS14" s="280"/>
      <c r="AT14" s="280"/>
      <c r="AU14" s="237" t="s">
        <v>23</v>
      </c>
      <c r="AV14" s="238"/>
      <c r="AW14" s="238"/>
      <c r="AX14" s="239"/>
      <c r="AY14" s="240" t="s">
        <v>67</v>
      </c>
      <c r="AZ14" s="241"/>
      <c r="BA14" s="241"/>
      <c r="BB14" s="241"/>
      <c r="BC14" s="241"/>
      <c r="BD14" s="242"/>
      <c r="BE14" s="77" t="s">
        <v>1004</v>
      </c>
      <c r="BF14" s="243" t="s">
        <v>1025</v>
      </c>
      <c r="BG14" s="243"/>
      <c r="BH14" s="243"/>
      <c r="BI14" s="243"/>
      <c r="BJ14" s="243"/>
      <c r="BK14" s="243"/>
      <c r="BL14" s="243"/>
      <c r="BM14" s="243"/>
      <c r="BN14" s="243"/>
      <c r="BO14" s="243" t="s">
        <v>68</v>
      </c>
    </row>
    <row r="15" spans="2:67" x14ac:dyDescent="0.3">
      <c r="B15" s="506"/>
      <c r="C15" s="506"/>
      <c r="D15" s="506"/>
      <c r="E15" s="506"/>
      <c r="F15" s="82"/>
      <c r="G15" s="82"/>
      <c r="H15" s="511"/>
      <c r="I15" s="330"/>
      <c r="J15" s="313"/>
      <c r="K15" s="10" t="s">
        <v>651</v>
      </c>
      <c r="L15" s="10">
        <v>1065</v>
      </c>
      <c r="M15" s="390"/>
      <c r="N15" s="10" t="s">
        <v>76</v>
      </c>
      <c r="O15" s="10">
        <v>120</v>
      </c>
      <c r="P15" s="313"/>
      <c r="Q15" s="313"/>
      <c r="R15" s="313"/>
      <c r="S15" s="313"/>
      <c r="T15" s="313"/>
      <c r="U15" s="313"/>
      <c r="V15" s="390"/>
      <c r="W15" s="454"/>
      <c r="X15" s="330"/>
      <c r="Y15" s="330"/>
      <c r="Z15" s="330"/>
      <c r="AA15" s="330"/>
      <c r="AB15" s="330"/>
      <c r="AC15" s="330"/>
      <c r="AD15" s="10" t="s">
        <v>150</v>
      </c>
      <c r="AE15" s="10" t="s">
        <v>150</v>
      </c>
      <c r="AF15" s="10" t="s">
        <v>693</v>
      </c>
      <c r="AG15" s="10" t="s">
        <v>694</v>
      </c>
      <c r="AH15" s="10" t="s">
        <v>695</v>
      </c>
      <c r="AI15" s="10"/>
      <c r="AJ15" s="10" t="s">
        <v>696</v>
      </c>
      <c r="AK15" s="45" t="s">
        <v>697</v>
      </c>
      <c r="AO15" s="275"/>
      <c r="AP15" s="275"/>
      <c r="AQ15" s="280" t="s">
        <v>1017</v>
      </c>
      <c r="AR15" s="280"/>
      <c r="AS15" s="280"/>
      <c r="AT15" s="280"/>
      <c r="AU15" s="296" t="s">
        <v>69</v>
      </c>
      <c r="AV15" s="296" t="s">
        <v>1013</v>
      </c>
      <c r="AW15" s="296"/>
      <c r="AX15" s="296"/>
      <c r="AY15" s="246" t="s">
        <v>71</v>
      </c>
      <c r="AZ15" s="246"/>
      <c r="BA15" s="246" t="s">
        <v>997</v>
      </c>
      <c r="BB15" s="246"/>
      <c r="BC15" s="246" t="s">
        <v>24</v>
      </c>
      <c r="BD15" s="246"/>
      <c r="BE15" s="247" t="s">
        <v>1091</v>
      </c>
      <c r="BF15" s="243"/>
      <c r="BG15" s="243"/>
      <c r="BH15" s="243"/>
      <c r="BI15" s="243"/>
      <c r="BJ15" s="243"/>
      <c r="BK15" s="243"/>
      <c r="BL15" s="243"/>
      <c r="BM15" s="243"/>
      <c r="BN15" s="243"/>
      <c r="BO15" s="243"/>
    </row>
    <row r="16" spans="2:67" x14ac:dyDescent="0.3">
      <c r="B16" s="506"/>
      <c r="C16" s="506"/>
      <c r="D16" s="506"/>
      <c r="E16" s="506"/>
      <c r="F16" s="82"/>
      <c r="G16" s="82"/>
      <c r="H16" s="511"/>
      <c r="I16" s="330"/>
      <c r="J16" s="313"/>
      <c r="K16" s="10" t="s">
        <v>80</v>
      </c>
      <c r="L16" s="10">
        <v>1268</v>
      </c>
      <c r="M16" s="390"/>
      <c r="N16" s="10" t="s">
        <v>76</v>
      </c>
      <c r="O16" s="10">
        <v>103</v>
      </c>
      <c r="P16" s="313"/>
      <c r="Q16" s="313"/>
      <c r="R16" s="313"/>
      <c r="S16" s="313"/>
      <c r="T16" s="313"/>
      <c r="U16" s="313"/>
      <c r="V16" s="390"/>
      <c r="W16" s="454"/>
      <c r="X16" s="330"/>
      <c r="Y16" s="330"/>
      <c r="Z16" s="330"/>
      <c r="AA16" s="330"/>
      <c r="AB16" s="330"/>
      <c r="AC16" s="330"/>
      <c r="AD16" s="10" t="s">
        <v>150</v>
      </c>
      <c r="AE16" s="10" t="s">
        <v>150</v>
      </c>
      <c r="AF16" s="10" t="s">
        <v>698</v>
      </c>
      <c r="AG16" s="10" t="s">
        <v>699</v>
      </c>
      <c r="AH16" s="10" t="s">
        <v>200</v>
      </c>
      <c r="AI16" s="10"/>
      <c r="AJ16" s="10" t="s">
        <v>465</v>
      </c>
      <c r="AK16" s="45" t="s">
        <v>700</v>
      </c>
      <c r="AO16" s="275"/>
      <c r="AP16" s="275"/>
      <c r="AQ16" s="280"/>
      <c r="AR16" s="280"/>
      <c r="AS16" s="280"/>
      <c r="AT16" s="280"/>
      <c r="AU16" s="296"/>
      <c r="AV16" s="296"/>
      <c r="AW16" s="296"/>
      <c r="AX16" s="296"/>
      <c r="AY16" s="246"/>
      <c r="AZ16" s="246"/>
      <c r="BA16" s="246"/>
      <c r="BB16" s="246"/>
      <c r="BC16" s="246"/>
      <c r="BD16" s="246"/>
      <c r="BE16" s="247"/>
      <c r="BF16" s="248" t="s">
        <v>1027</v>
      </c>
      <c r="BG16" s="244" t="s">
        <v>17</v>
      </c>
      <c r="BH16" s="244"/>
      <c r="BI16" s="244" t="s">
        <v>18</v>
      </c>
      <c r="BJ16" s="244"/>
      <c r="BK16" s="244" t="s">
        <v>19</v>
      </c>
      <c r="BL16" s="244"/>
      <c r="BM16" s="244" t="s">
        <v>667</v>
      </c>
      <c r="BN16" s="244"/>
      <c r="BO16" s="243"/>
    </row>
    <row r="17" spans="2:67" ht="28.95" customHeight="1" x14ac:dyDescent="0.3">
      <c r="B17" s="506"/>
      <c r="C17" s="506"/>
      <c r="D17" s="506"/>
      <c r="E17" s="506"/>
      <c r="F17" s="82"/>
      <c r="G17" s="82"/>
      <c r="H17" s="511"/>
      <c r="I17" s="330"/>
      <c r="J17" s="313"/>
      <c r="K17" s="10" t="s">
        <v>171</v>
      </c>
      <c r="L17" s="10">
        <v>975</v>
      </c>
      <c r="M17" s="390"/>
      <c r="N17" s="10" t="s">
        <v>76</v>
      </c>
      <c r="O17" s="10">
        <v>120</v>
      </c>
      <c r="P17" s="313"/>
      <c r="Q17" s="313"/>
      <c r="R17" s="313"/>
      <c r="S17" s="313"/>
      <c r="T17" s="313"/>
      <c r="U17" s="313"/>
      <c r="V17" s="390"/>
      <c r="W17" s="454"/>
      <c r="X17" s="330"/>
      <c r="Y17" s="330"/>
      <c r="Z17" s="330"/>
      <c r="AA17" s="330"/>
      <c r="AB17" s="330"/>
      <c r="AC17" s="330"/>
      <c r="AD17" s="10" t="s">
        <v>150</v>
      </c>
      <c r="AE17" s="10" t="s">
        <v>150</v>
      </c>
      <c r="AF17" s="10" t="s">
        <v>701</v>
      </c>
      <c r="AG17" s="10" t="s">
        <v>702</v>
      </c>
      <c r="AH17" s="10" t="s">
        <v>703</v>
      </c>
      <c r="AI17" s="10"/>
      <c r="AJ17" s="10" t="s">
        <v>470</v>
      </c>
      <c r="AK17" s="45" t="s">
        <v>704</v>
      </c>
      <c r="AO17" s="275"/>
      <c r="AP17" s="275"/>
      <c r="AQ17" s="65" t="s">
        <v>1016</v>
      </c>
      <c r="AR17" s="65" t="s">
        <v>1074</v>
      </c>
      <c r="AS17" s="66" t="s">
        <v>73</v>
      </c>
      <c r="AT17" s="67" t="s">
        <v>1019</v>
      </c>
      <c r="AU17" s="65" t="s">
        <v>1026</v>
      </c>
      <c r="AV17" s="65" t="s">
        <v>1036</v>
      </c>
      <c r="AW17" s="65" t="s">
        <v>1021</v>
      </c>
      <c r="AX17" s="65" t="s">
        <v>1022</v>
      </c>
      <c r="AY17" s="246"/>
      <c r="AZ17" s="246"/>
      <c r="BA17" s="69" t="s">
        <v>1071</v>
      </c>
      <c r="BB17" s="69" t="s">
        <v>1072</v>
      </c>
      <c r="BC17" s="62" t="s">
        <v>1035</v>
      </c>
      <c r="BD17" s="62" t="s">
        <v>1014</v>
      </c>
      <c r="BE17" s="247"/>
      <c r="BF17" s="248"/>
      <c r="BG17" s="72" t="s">
        <v>1023</v>
      </c>
      <c r="BH17" s="72" t="s">
        <v>1024</v>
      </c>
      <c r="BI17" s="72" t="s">
        <v>1023</v>
      </c>
      <c r="BJ17" s="72" t="s">
        <v>1024</v>
      </c>
      <c r="BK17" s="72" t="s">
        <v>1023</v>
      </c>
      <c r="BL17" s="72" t="s">
        <v>1024</v>
      </c>
      <c r="BM17" s="72" t="s">
        <v>1023</v>
      </c>
      <c r="BN17" s="72" t="s">
        <v>1024</v>
      </c>
      <c r="BO17" s="74" t="s">
        <v>1048</v>
      </c>
    </row>
    <row r="18" spans="2:67" ht="57.6" x14ac:dyDescent="0.3">
      <c r="B18" s="506"/>
      <c r="C18" s="506"/>
      <c r="D18" s="506"/>
      <c r="E18" s="506"/>
      <c r="F18" s="82"/>
      <c r="G18" s="82"/>
      <c r="H18" s="511"/>
      <c r="I18" s="330"/>
      <c r="J18" s="313"/>
      <c r="K18" s="10" t="s">
        <v>81</v>
      </c>
      <c r="L18" s="10" t="s">
        <v>652</v>
      </c>
      <c r="M18" s="390"/>
      <c r="N18" s="10" t="s">
        <v>76</v>
      </c>
      <c r="O18" s="10">
        <v>3</v>
      </c>
      <c r="P18" s="313"/>
      <c r="Q18" s="313"/>
      <c r="R18" s="313"/>
      <c r="S18" s="313"/>
      <c r="T18" s="313"/>
      <c r="U18" s="313"/>
      <c r="V18" s="390"/>
      <c r="W18" s="454"/>
      <c r="X18" s="330"/>
      <c r="Y18" s="330"/>
      <c r="Z18" s="330"/>
      <c r="AA18" s="330"/>
      <c r="AB18" s="330"/>
      <c r="AC18" s="330"/>
      <c r="AD18" s="10" t="s">
        <v>150</v>
      </c>
      <c r="AE18" s="10" t="s">
        <v>150</v>
      </c>
      <c r="AF18" s="10" t="s">
        <v>705</v>
      </c>
      <c r="AG18" s="10" t="s">
        <v>706</v>
      </c>
      <c r="AH18" s="10" t="s">
        <v>707</v>
      </c>
      <c r="AI18" s="10"/>
      <c r="AJ18" s="10" t="s">
        <v>612</v>
      </c>
      <c r="AK18" s="45" t="s">
        <v>708</v>
      </c>
      <c r="AO18" s="307" t="s">
        <v>1063</v>
      </c>
      <c r="AP18" s="307" t="s">
        <v>923</v>
      </c>
      <c r="AQ18" s="245">
        <v>32</v>
      </c>
      <c r="AR18" s="245" t="s">
        <v>1064</v>
      </c>
      <c r="AS18" s="306" t="s">
        <v>1018</v>
      </c>
      <c r="AT18" s="245" t="s">
        <v>1065</v>
      </c>
      <c r="AU18" s="66">
        <v>3</v>
      </c>
      <c r="AV18" s="245" t="s">
        <v>1073</v>
      </c>
      <c r="AW18" s="245">
        <v>3</v>
      </c>
      <c r="AX18" s="245">
        <v>1</v>
      </c>
      <c r="AY18" s="271">
        <v>2</v>
      </c>
      <c r="AZ18" s="3" t="s">
        <v>1012</v>
      </c>
      <c r="BA18" s="271" t="s">
        <v>1047</v>
      </c>
      <c r="BB18" s="3">
        <v>1</v>
      </c>
      <c r="BC18" s="271" t="s">
        <v>1061</v>
      </c>
      <c r="BD18" s="3">
        <v>1</v>
      </c>
      <c r="BE18" s="70">
        <v>13</v>
      </c>
      <c r="BF18" s="74" t="s">
        <v>1028</v>
      </c>
      <c r="BG18" s="73"/>
      <c r="BH18" s="73"/>
      <c r="BI18" s="73"/>
      <c r="BJ18" s="73"/>
      <c r="BK18" s="73"/>
      <c r="BL18" s="73"/>
      <c r="BM18" s="73" t="s">
        <v>150</v>
      </c>
      <c r="BN18" s="71" t="s">
        <v>687</v>
      </c>
      <c r="BO18" s="73">
        <v>0</v>
      </c>
    </row>
    <row r="19" spans="2:67" ht="57.6" x14ac:dyDescent="0.3">
      <c r="B19" s="506"/>
      <c r="C19" s="506"/>
      <c r="D19" s="506"/>
      <c r="E19" s="506"/>
      <c r="F19" s="82"/>
      <c r="G19" s="82"/>
      <c r="H19" s="511"/>
      <c r="I19" s="330"/>
      <c r="J19" s="313"/>
      <c r="K19" s="10" t="s">
        <v>363</v>
      </c>
      <c r="L19" s="10">
        <v>389</v>
      </c>
      <c r="M19" s="390"/>
      <c r="N19" s="10" t="s">
        <v>76</v>
      </c>
      <c r="O19" s="10">
        <v>14</v>
      </c>
      <c r="P19" s="313"/>
      <c r="Q19" s="313"/>
      <c r="R19" s="313"/>
      <c r="S19" s="313"/>
      <c r="T19" s="313"/>
      <c r="U19" s="313"/>
      <c r="V19" s="390"/>
      <c r="W19" s="454"/>
      <c r="X19" s="330"/>
      <c r="Y19" s="330"/>
      <c r="Z19" s="330"/>
      <c r="AA19" s="330"/>
      <c r="AB19" s="330"/>
      <c r="AC19" s="330"/>
      <c r="AD19" s="10" t="s">
        <v>150</v>
      </c>
      <c r="AE19" s="10" t="s">
        <v>150</v>
      </c>
      <c r="AF19" s="10" t="s">
        <v>709</v>
      </c>
      <c r="AG19" s="10" t="s">
        <v>473</v>
      </c>
      <c r="AH19" s="10" t="s">
        <v>473</v>
      </c>
      <c r="AI19" s="10"/>
      <c r="AJ19" s="10" t="s">
        <v>473</v>
      </c>
      <c r="AK19" s="45" t="s">
        <v>473</v>
      </c>
      <c r="AO19" s="307"/>
      <c r="AP19" s="307"/>
      <c r="AQ19" s="245"/>
      <c r="AR19" s="245"/>
      <c r="AS19" s="306"/>
      <c r="AT19" s="245"/>
      <c r="AU19" s="66">
        <v>6</v>
      </c>
      <c r="AV19" s="245"/>
      <c r="AW19" s="245"/>
      <c r="AX19" s="245"/>
      <c r="AY19" s="271"/>
      <c r="AZ19" s="3" t="s">
        <v>1015</v>
      </c>
      <c r="BA19" s="271"/>
      <c r="BB19" s="3">
        <v>1</v>
      </c>
      <c r="BC19" s="271"/>
      <c r="BD19" s="3">
        <v>1</v>
      </c>
      <c r="BE19" s="70">
        <v>13</v>
      </c>
      <c r="BF19" s="74" t="s">
        <v>1028</v>
      </c>
      <c r="BG19" s="73"/>
      <c r="BH19" s="73"/>
      <c r="BI19" s="73"/>
      <c r="BJ19" s="73"/>
      <c r="BK19" s="73"/>
      <c r="BL19" s="73"/>
      <c r="BM19" s="73"/>
      <c r="BN19" s="73"/>
      <c r="BO19" s="73">
        <v>3</v>
      </c>
    </row>
    <row r="20" spans="2:67" ht="57.6" x14ac:dyDescent="0.3">
      <c r="B20" s="506"/>
      <c r="C20" s="506"/>
      <c r="D20" s="506"/>
      <c r="E20" s="506"/>
      <c r="F20" s="82"/>
      <c r="G20" s="82"/>
      <c r="H20" s="511"/>
      <c r="I20" s="330"/>
      <c r="J20" s="313"/>
      <c r="K20" s="10" t="s">
        <v>83</v>
      </c>
      <c r="L20" s="10">
        <v>15</v>
      </c>
      <c r="M20" s="390"/>
      <c r="N20" s="10" t="s">
        <v>76</v>
      </c>
      <c r="O20" s="10">
        <v>1</v>
      </c>
      <c r="P20" s="313"/>
      <c r="Q20" s="313"/>
      <c r="R20" s="313"/>
      <c r="S20" s="313"/>
      <c r="T20" s="313"/>
      <c r="U20" s="313"/>
      <c r="V20" s="390"/>
      <c r="W20" s="454"/>
      <c r="X20" s="330"/>
      <c r="Y20" s="330"/>
      <c r="Z20" s="330"/>
      <c r="AA20" s="330"/>
      <c r="AB20" s="330"/>
      <c r="AC20" s="330"/>
      <c r="AD20" s="10" t="s">
        <v>150</v>
      </c>
      <c r="AE20" s="10" t="s">
        <v>150</v>
      </c>
      <c r="AF20" s="10" t="s">
        <v>710</v>
      </c>
      <c r="AG20" s="10" t="s">
        <v>473</v>
      </c>
      <c r="AH20" s="10" t="s">
        <v>473</v>
      </c>
      <c r="AI20" s="10"/>
      <c r="AJ20" s="10" t="s">
        <v>473</v>
      </c>
      <c r="AK20" s="45" t="s">
        <v>473</v>
      </c>
      <c r="AO20" s="307"/>
      <c r="AP20" s="2" t="s">
        <v>924</v>
      </c>
      <c r="AQ20" s="66">
        <v>23</v>
      </c>
      <c r="AR20" s="66" t="s">
        <v>1064</v>
      </c>
      <c r="AS20" s="67" t="s">
        <v>1018</v>
      </c>
      <c r="AT20" s="66" t="s">
        <v>1066</v>
      </c>
      <c r="AU20" s="66">
        <v>3</v>
      </c>
      <c r="AV20" s="66" t="s">
        <v>1075</v>
      </c>
      <c r="AW20" s="66">
        <v>9</v>
      </c>
      <c r="AX20" s="66">
        <v>1</v>
      </c>
      <c r="AY20" s="3">
        <v>1</v>
      </c>
      <c r="AZ20" s="3" t="s">
        <v>1015</v>
      </c>
      <c r="BA20" s="3" t="s">
        <v>1047</v>
      </c>
      <c r="BB20" s="3">
        <v>1</v>
      </c>
      <c r="BC20" s="3" t="s">
        <v>1062</v>
      </c>
      <c r="BD20" s="3">
        <v>1</v>
      </c>
      <c r="BE20" s="70">
        <v>13</v>
      </c>
      <c r="BF20" s="74" t="s">
        <v>1028</v>
      </c>
      <c r="BG20" s="73"/>
      <c r="BH20" s="73"/>
      <c r="BI20" s="73"/>
      <c r="BJ20" s="73"/>
      <c r="BK20" s="73"/>
      <c r="BL20" s="73"/>
      <c r="BM20" s="73"/>
      <c r="BN20" s="73"/>
      <c r="BO20" s="73">
        <v>3</v>
      </c>
    </row>
    <row r="21" spans="2:67" ht="57.6" x14ac:dyDescent="0.3">
      <c r="B21" s="506"/>
      <c r="C21" s="506"/>
      <c r="D21" s="506"/>
      <c r="E21" s="506"/>
      <c r="F21" s="82"/>
      <c r="G21" s="82"/>
      <c r="H21" s="511"/>
      <c r="I21" s="330"/>
      <c r="J21" s="313"/>
      <c r="K21" s="10" t="s">
        <v>85</v>
      </c>
      <c r="L21" s="10">
        <v>681</v>
      </c>
      <c r="M21" s="390"/>
      <c r="N21" s="10" t="s">
        <v>76</v>
      </c>
      <c r="O21" s="10">
        <v>100</v>
      </c>
      <c r="P21" s="313"/>
      <c r="Q21" s="313"/>
      <c r="R21" s="313"/>
      <c r="S21" s="313"/>
      <c r="T21" s="313"/>
      <c r="U21" s="313"/>
      <c r="V21" s="390"/>
      <c r="W21" s="454"/>
      <c r="X21" s="330"/>
      <c r="Y21" s="330"/>
      <c r="Z21" s="330"/>
      <c r="AA21" s="330"/>
      <c r="AB21" s="330"/>
      <c r="AC21" s="330"/>
      <c r="AD21" s="10" t="s">
        <v>150</v>
      </c>
      <c r="AE21" s="10" t="s">
        <v>150</v>
      </c>
      <c r="AF21" s="10" t="s">
        <v>711</v>
      </c>
      <c r="AG21" s="10" t="s">
        <v>712</v>
      </c>
      <c r="AH21" s="10" t="s">
        <v>713</v>
      </c>
      <c r="AI21" s="10"/>
      <c r="AJ21" s="10" t="s">
        <v>480</v>
      </c>
      <c r="AK21" s="45" t="s">
        <v>714</v>
      </c>
      <c r="AO21" s="307" t="s">
        <v>1067</v>
      </c>
      <c r="AP21" s="307"/>
      <c r="AQ21" s="66"/>
      <c r="AR21" s="66" t="s">
        <v>1069</v>
      </c>
      <c r="AS21" s="67" t="s">
        <v>1018</v>
      </c>
      <c r="AT21" s="66" t="s">
        <v>1083</v>
      </c>
      <c r="AU21" s="66">
        <v>2</v>
      </c>
      <c r="AV21" s="66" t="s">
        <v>1073</v>
      </c>
      <c r="AW21" s="66">
        <v>3</v>
      </c>
      <c r="AX21" s="66">
        <v>1</v>
      </c>
      <c r="AY21" s="3">
        <v>1</v>
      </c>
      <c r="AZ21" s="3" t="s">
        <v>1012</v>
      </c>
      <c r="BA21" s="3" t="s">
        <v>1047</v>
      </c>
      <c r="BB21" s="3">
        <v>2</v>
      </c>
      <c r="BC21" s="3" t="s">
        <v>1070</v>
      </c>
      <c r="BD21" s="3">
        <v>1</v>
      </c>
      <c r="BE21" s="70">
        <v>13</v>
      </c>
      <c r="BF21" s="74" t="s">
        <v>1028</v>
      </c>
      <c r="BG21" s="73"/>
      <c r="BH21" s="73"/>
      <c r="BI21" s="73"/>
      <c r="BJ21" s="73"/>
      <c r="BK21" s="73"/>
      <c r="BL21" s="73"/>
      <c r="BM21" s="71" t="s">
        <v>830</v>
      </c>
      <c r="BN21" s="71" t="s">
        <v>832</v>
      </c>
      <c r="BO21" s="73">
        <v>0</v>
      </c>
    </row>
    <row r="22" spans="2:67" ht="57.6" x14ac:dyDescent="0.3">
      <c r="B22" s="506"/>
      <c r="C22" s="506"/>
      <c r="D22" s="506"/>
      <c r="E22" s="506"/>
      <c r="F22" s="82"/>
      <c r="G22" s="82"/>
      <c r="H22" s="511"/>
      <c r="I22" s="330"/>
      <c r="J22" s="313"/>
      <c r="K22" s="10" t="s">
        <v>86</v>
      </c>
      <c r="L22" s="10">
        <v>1209</v>
      </c>
      <c r="M22" s="390"/>
      <c r="N22" s="10" t="s">
        <v>76</v>
      </c>
      <c r="O22" s="10">
        <v>158</v>
      </c>
      <c r="P22" s="313"/>
      <c r="Q22" s="313"/>
      <c r="R22" s="313"/>
      <c r="S22" s="313"/>
      <c r="T22" s="313"/>
      <c r="U22" s="313"/>
      <c r="V22" s="390"/>
      <c r="W22" s="454"/>
      <c r="X22" s="330"/>
      <c r="Y22" s="330"/>
      <c r="Z22" s="330"/>
      <c r="AA22" s="330"/>
      <c r="AB22" s="330"/>
      <c r="AC22" s="330"/>
      <c r="AD22" s="10" t="s">
        <v>150</v>
      </c>
      <c r="AE22" s="10" t="s">
        <v>150</v>
      </c>
      <c r="AF22" s="10" t="s">
        <v>666</v>
      </c>
      <c r="AG22" s="10" t="s">
        <v>715</v>
      </c>
      <c r="AH22" s="10" t="s">
        <v>716</v>
      </c>
      <c r="AI22" s="10"/>
      <c r="AJ22" s="10" t="s">
        <v>717</v>
      </c>
      <c r="AK22" s="45" t="s">
        <v>718</v>
      </c>
      <c r="AO22" s="307" t="s">
        <v>1079</v>
      </c>
      <c r="AP22" s="307" t="s">
        <v>923</v>
      </c>
      <c r="AQ22" s="245">
        <v>19</v>
      </c>
      <c r="AR22" s="245" t="s">
        <v>1077</v>
      </c>
      <c r="AS22" s="306" t="s">
        <v>1018</v>
      </c>
      <c r="AT22" s="245" t="s">
        <v>1082</v>
      </c>
      <c r="AU22" s="66">
        <v>3</v>
      </c>
      <c r="AV22" s="245" t="s">
        <v>1076</v>
      </c>
      <c r="AW22" s="245">
        <v>3</v>
      </c>
      <c r="AX22" s="245">
        <v>1</v>
      </c>
      <c r="AY22" s="271">
        <v>2</v>
      </c>
      <c r="AZ22" s="3" t="s">
        <v>1012</v>
      </c>
      <c r="BA22" s="3" t="s">
        <v>1047</v>
      </c>
      <c r="BB22" s="3">
        <v>1</v>
      </c>
      <c r="BC22" s="3" t="s">
        <v>1061</v>
      </c>
      <c r="BD22" s="3">
        <v>1</v>
      </c>
      <c r="BE22" s="70">
        <v>13</v>
      </c>
      <c r="BF22" s="74" t="s">
        <v>1028</v>
      </c>
      <c r="BG22" s="73"/>
      <c r="BH22" s="73"/>
      <c r="BI22" s="73"/>
      <c r="BJ22" s="73"/>
      <c r="BK22" s="73"/>
      <c r="BL22" s="73"/>
      <c r="BM22" s="73"/>
      <c r="BN22" s="73"/>
      <c r="BO22" s="73">
        <v>0</v>
      </c>
    </row>
    <row r="23" spans="2:67" ht="57.6" x14ac:dyDescent="0.3">
      <c r="B23" s="506"/>
      <c r="C23" s="506"/>
      <c r="D23" s="506"/>
      <c r="E23" s="506"/>
      <c r="F23" s="82"/>
      <c r="G23" s="82"/>
      <c r="H23" s="511"/>
      <c r="I23" s="330"/>
      <c r="J23" s="313"/>
      <c r="K23" s="10" t="s">
        <v>653</v>
      </c>
      <c r="L23" s="10">
        <v>99</v>
      </c>
      <c r="M23" s="390"/>
      <c r="N23" s="10" t="s">
        <v>76</v>
      </c>
      <c r="O23" s="10" t="s">
        <v>90</v>
      </c>
      <c r="P23" s="313"/>
      <c r="Q23" s="313"/>
      <c r="R23" s="313"/>
      <c r="S23" s="313"/>
      <c r="T23" s="313"/>
      <c r="U23" s="313"/>
      <c r="V23" s="390"/>
      <c r="W23" s="454"/>
      <c r="X23" s="330"/>
      <c r="Y23" s="330"/>
      <c r="Z23" s="330"/>
      <c r="AA23" s="330"/>
      <c r="AB23" s="330"/>
      <c r="AC23" s="330"/>
      <c r="AD23" s="10" t="s">
        <v>150</v>
      </c>
      <c r="AE23" s="10" t="s">
        <v>150</v>
      </c>
      <c r="AF23" s="10" t="s">
        <v>719</v>
      </c>
      <c r="AG23" s="10" t="s">
        <v>473</v>
      </c>
      <c r="AH23" s="10" t="s">
        <v>473</v>
      </c>
      <c r="AI23" s="10"/>
      <c r="AJ23" s="10" t="s">
        <v>214</v>
      </c>
      <c r="AK23" s="45" t="s">
        <v>720</v>
      </c>
      <c r="AO23" s="307"/>
      <c r="AP23" s="307"/>
      <c r="AQ23" s="245"/>
      <c r="AR23" s="245"/>
      <c r="AS23" s="306"/>
      <c r="AT23" s="245"/>
      <c r="AU23" s="66">
        <v>6</v>
      </c>
      <c r="AV23" s="245"/>
      <c r="AW23" s="245"/>
      <c r="AX23" s="245"/>
      <c r="AY23" s="271"/>
      <c r="AZ23" s="3" t="s">
        <v>1015</v>
      </c>
      <c r="BA23" s="3" t="s">
        <v>1047</v>
      </c>
      <c r="BB23" s="3">
        <v>1</v>
      </c>
      <c r="BC23" s="3" t="s">
        <v>1062</v>
      </c>
      <c r="BD23" s="3">
        <v>1</v>
      </c>
      <c r="BE23" s="70">
        <v>13</v>
      </c>
      <c r="BF23" s="74" t="s">
        <v>1028</v>
      </c>
      <c r="BG23" s="244" t="s">
        <v>1081</v>
      </c>
      <c r="BH23" s="244"/>
      <c r="BI23" s="244"/>
      <c r="BJ23" s="244"/>
      <c r="BK23" s="244"/>
      <c r="BL23" s="244"/>
      <c r="BM23" s="244"/>
      <c r="BN23" s="244"/>
      <c r="BO23" s="73">
        <v>3</v>
      </c>
    </row>
    <row r="24" spans="2:67" ht="57.6" x14ac:dyDescent="0.3">
      <c r="B24" s="506"/>
      <c r="C24" s="506"/>
      <c r="D24" s="506"/>
      <c r="E24" s="506"/>
      <c r="F24" s="82"/>
      <c r="G24" s="82"/>
      <c r="H24" s="511"/>
      <c r="I24" s="330"/>
      <c r="J24" s="313"/>
      <c r="K24" s="10" t="s">
        <v>654</v>
      </c>
      <c r="L24" s="10">
        <v>37</v>
      </c>
      <c r="M24" s="390"/>
      <c r="N24" s="10" t="s">
        <v>76</v>
      </c>
      <c r="O24" s="10" t="s">
        <v>93</v>
      </c>
      <c r="P24" s="313"/>
      <c r="Q24" s="313"/>
      <c r="R24" s="313"/>
      <c r="S24" s="313"/>
      <c r="T24" s="313"/>
      <c r="U24" s="313"/>
      <c r="V24" s="390"/>
      <c r="W24" s="454"/>
      <c r="X24" s="330"/>
      <c r="Y24" s="330"/>
      <c r="Z24" s="330"/>
      <c r="AA24" s="330"/>
      <c r="AB24" s="330"/>
      <c r="AC24" s="330"/>
      <c r="AD24" s="10" t="s">
        <v>150</v>
      </c>
      <c r="AE24" s="10" t="s">
        <v>150</v>
      </c>
      <c r="AF24" s="10" t="s">
        <v>721</v>
      </c>
      <c r="AG24" s="10" t="s">
        <v>473</v>
      </c>
      <c r="AH24" s="10" t="s">
        <v>473</v>
      </c>
      <c r="AI24" s="10"/>
      <c r="AJ24" s="10" t="s">
        <v>217</v>
      </c>
      <c r="AK24" s="45" t="s">
        <v>722</v>
      </c>
      <c r="AO24" s="307"/>
      <c r="AP24" s="2" t="s">
        <v>1080</v>
      </c>
      <c r="AQ24" s="66">
        <v>1</v>
      </c>
      <c r="AR24" s="66" t="s">
        <v>1077</v>
      </c>
      <c r="AS24" s="306" t="s">
        <v>1018</v>
      </c>
      <c r="AT24" s="68">
        <v>46023</v>
      </c>
      <c r="AU24" s="66">
        <v>3</v>
      </c>
      <c r="AV24" s="66" t="s">
        <v>1076</v>
      </c>
      <c r="AW24" s="66">
        <v>3</v>
      </c>
      <c r="AX24" s="66">
        <v>1</v>
      </c>
      <c r="AY24" s="3">
        <v>1</v>
      </c>
      <c r="AZ24" s="3" t="s">
        <v>1012</v>
      </c>
      <c r="BA24" s="3" t="s">
        <v>1047</v>
      </c>
      <c r="BB24" s="3">
        <v>1</v>
      </c>
      <c r="BC24" s="3" t="s">
        <v>1070</v>
      </c>
      <c r="BD24" s="3">
        <v>1</v>
      </c>
      <c r="BE24" s="70">
        <v>13</v>
      </c>
      <c r="BF24" s="74" t="s">
        <v>1028</v>
      </c>
      <c r="BG24" s="73"/>
      <c r="BH24" s="73"/>
      <c r="BI24" s="73"/>
      <c r="BJ24" s="73"/>
      <c r="BK24" s="73"/>
      <c r="BL24" s="73"/>
      <c r="BM24" s="73" t="s">
        <v>889</v>
      </c>
      <c r="BN24" s="71" t="s">
        <v>888</v>
      </c>
      <c r="BO24" s="73">
        <v>0</v>
      </c>
    </row>
    <row r="25" spans="2:67" ht="57.6" x14ac:dyDescent="0.3">
      <c r="B25" s="506"/>
      <c r="C25" s="506"/>
      <c r="D25" s="506"/>
      <c r="E25" s="506"/>
      <c r="F25" s="82"/>
      <c r="G25" s="82"/>
      <c r="H25" s="511"/>
      <c r="I25" s="330"/>
      <c r="J25" s="313"/>
      <c r="K25" s="10" t="s">
        <v>655</v>
      </c>
      <c r="L25" s="10">
        <v>136</v>
      </c>
      <c r="M25" s="390"/>
      <c r="N25" s="10" t="s">
        <v>76</v>
      </c>
      <c r="O25" s="10" t="s">
        <v>90</v>
      </c>
      <c r="P25" s="314"/>
      <c r="Q25" s="313"/>
      <c r="R25" s="313"/>
      <c r="S25" s="314"/>
      <c r="T25" s="313"/>
      <c r="U25" s="313"/>
      <c r="V25" s="390"/>
      <c r="W25" s="454"/>
      <c r="X25" s="330"/>
      <c r="Y25" s="330"/>
      <c r="Z25" s="330"/>
      <c r="AA25" s="330"/>
      <c r="AB25" s="330"/>
      <c r="AC25" s="330"/>
      <c r="AD25" s="10" t="s">
        <v>150</v>
      </c>
      <c r="AE25" s="10" t="s">
        <v>150</v>
      </c>
      <c r="AF25" s="10" t="s">
        <v>723</v>
      </c>
      <c r="AG25" s="10" t="s">
        <v>473</v>
      </c>
      <c r="AH25" s="10" t="s">
        <v>473</v>
      </c>
      <c r="AI25" s="10"/>
      <c r="AJ25" s="10" t="s">
        <v>221</v>
      </c>
      <c r="AK25" s="45" t="s">
        <v>724</v>
      </c>
      <c r="AO25" s="307"/>
      <c r="AP25" s="2" t="s">
        <v>924</v>
      </c>
      <c r="AQ25" s="66">
        <v>45</v>
      </c>
      <c r="AR25" s="66" t="s">
        <v>1077</v>
      </c>
      <c r="AS25" s="306"/>
      <c r="AT25" s="66" t="s">
        <v>1084</v>
      </c>
      <c r="AU25" s="66">
        <v>6</v>
      </c>
      <c r="AV25" s="66" t="s">
        <v>1076</v>
      </c>
      <c r="AW25" s="66">
        <v>9</v>
      </c>
      <c r="AX25" s="66">
        <v>1</v>
      </c>
      <c r="AY25" s="3">
        <v>1</v>
      </c>
      <c r="AZ25" s="3" t="s">
        <v>1015</v>
      </c>
      <c r="BA25" s="3" t="s">
        <v>1047</v>
      </c>
      <c r="BB25" s="3">
        <v>1</v>
      </c>
      <c r="BC25" s="3" t="s">
        <v>1062</v>
      </c>
      <c r="BD25" s="3">
        <v>1</v>
      </c>
      <c r="BE25" s="70">
        <v>13</v>
      </c>
      <c r="BF25" s="74" t="s">
        <v>1028</v>
      </c>
      <c r="BG25" s="73"/>
      <c r="BH25" s="73"/>
      <c r="BI25" s="73"/>
      <c r="BJ25" s="73"/>
      <c r="BK25" s="73"/>
      <c r="BL25" s="73"/>
      <c r="BM25" s="73"/>
      <c r="BN25" s="73"/>
      <c r="BO25" s="73">
        <v>3</v>
      </c>
    </row>
    <row r="26" spans="2:67" x14ac:dyDescent="0.3">
      <c r="B26" s="506"/>
      <c r="C26" s="506"/>
      <c r="D26" s="506"/>
      <c r="E26" s="506"/>
      <c r="F26" s="82"/>
      <c r="G26" s="82"/>
      <c r="H26" s="511"/>
      <c r="I26" s="330"/>
      <c r="J26" s="313"/>
      <c r="K26" s="10" t="s">
        <v>656</v>
      </c>
      <c r="L26" s="10">
        <v>55</v>
      </c>
      <c r="M26" s="390"/>
      <c r="N26" s="10" t="s">
        <v>76</v>
      </c>
      <c r="O26" s="10" t="s">
        <v>93</v>
      </c>
      <c r="P26" s="344" t="s">
        <v>1031</v>
      </c>
      <c r="Q26" s="313"/>
      <c r="R26" s="313"/>
      <c r="S26" s="344" t="s">
        <v>999</v>
      </c>
      <c r="T26" s="313"/>
      <c r="U26" s="313"/>
      <c r="V26" s="390"/>
      <c r="W26" s="454"/>
      <c r="X26" s="330"/>
      <c r="Y26" s="330"/>
      <c r="Z26" s="330"/>
      <c r="AA26" s="330"/>
      <c r="AB26" s="330"/>
      <c r="AC26" s="330"/>
      <c r="AD26" s="10" t="s">
        <v>150</v>
      </c>
      <c r="AE26" s="10" t="s">
        <v>150</v>
      </c>
      <c r="AF26" s="10" t="s">
        <v>643</v>
      </c>
      <c r="AG26" s="10" t="s">
        <v>473</v>
      </c>
      <c r="AH26" s="10" t="s">
        <v>473</v>
      </c>
      <c r="AI26" s="10"/>
      <c r="AJ26" s="10" t="s">
        <v>224</v>
      </c>
      <c r="AK26" s="45" t="s">
        <v>725</v>
      </c>
    </row>
    <row r="27" spans="2:67" x14ac:dyDescent="0.3">
      <c r="B27" s="506"/>
      <c r="C27" s="506"/>
      <c r="D27" s="506"/>
      <c r="E27" s="506"/>
      <c r="F27" s="82"/>
      <c r="G27" s="82"/>
      <c r="H27" s="511"/>
      <c r="I27" s="330"/>
      <c r="J27" s="313"/>
      <c r="K27" s="10" t="s">
        <v>657</v>
      </c>
      <c r="L27" s="10">
        <v>40</v>
      </c>
      <c r="M27" s="390"/>
      <c r="N27" s="10" t="s">
        <v>76</v>
      </c>
      <c r="O27" s="10" t="s">
        <v>90</v>
      </c>
      <c r="P27" s="313"/>
      <c r="Q27" s="313"/>
      <c r="R27" s="313"/>
      <c r="S27" s="313"/>
      <c r="T27" s="313"/>
      <c r="U27" s="313"/>
      <c r="V27" s="390"/>
      <c r="W27" s="454"/>
      <c r="X27" s="330"/>
      <c r="Y27" s="330"/>
      <c r="Z27" s="330"/>
      <c r="AA27" s="330"/>
      <c r="AB27" s="330"/>
      <c r="AC27" s="330"/>
      <c r="AD27" s="10" t="s">
        <v>150</v>
      </c>
      <c r="AE27" s="10" t="s">
        <v>150</v>
      </c>
      <c r="AF27" s="10" t="s">
        <v>481</v>
      </c>
      <c r="AG27" s="10" t="s">
        <v>473</v>
      </c>
      <c r="AH27" s="10" t="s">
        <v>473</v>
      </c>
      <c r="AI27" s="10"/>
      <c r="AJ27" s="10" t="s">
        <v>196</v>
      </c>
      <c r="AK27" s="45" t="s">
        <v>726</v>
      </c>
    </row>
    <row r="28" spans="2:67" x14ac:dyDescent="0.3">
      <c r="B28" s="506"/>
      <c r="C28" s="506"/>
      <c r="D28" s="506"/>
      <c r="E28" s="506"/>
      <c r="F28" s="82"/>
      <c r="G28" s="82"/>
      <c r="H28" s="511"/>
      <c r="I28" s="330"/>
      <c r="J28" s="313"/>
      <c r="K28" s="10" t="s">
        <v>101</v>
      </c>
      <c r="L28" s="10">
        <v>74</v>
      </c>
      <c r="M28" s="390"/>
      <c r="N28" s="10" t="s">
        <v>76</v>
      </c>
      <c r="O28" s="10">
        <v>5</v>
      </c>
      <c r="P28" s="313"/>
      <c r="Q28" s="313"/>
      <c r="R28" s="313"/>
      <c r="S28" s="313"/>
      <c r="T28" s="313"/>
      <c r="U28" s="313"/>
      <c r="V28" s="390"/>
      <c r="W28" s="454"/>
      <c r="X28" s="330"/>
      <c r="Y28" s="330"/>
      <c r="Z28" s="330"/>
      <c r="AA28" s="330"/>
      <c r="AB28" s="330"/>
      <c r="AC28" s="330"/>
      <c r="AD28" s="10" t="s">
        <v>150</v>
      </c>
      <c r="AE28" s="10" t="s">
        <v>150</v>
      </c>
      <c r="AF28" s="10" t="s">
        <v>727</v>
      </c>
      <c r="AG28" s="10" t="s">
        <v>473</v>
      </c>
      <c r="AH28" s="10" t="s">
        <v>473</v>
      </c>
      <c r="AI28" s="10"/>
      <c r="AJ28" s="10" t="s">
        <v>229</v>
      </c>
      <c r="AK28" s="45" t="s">
        <v>728</v>
      </c>
    </row>
    <row r="29" spans="2:67" x14ac:dyDescent="0.3">
      <c r="B29" s="506"/>
      <c r="C29" s="506"/>
      <c r="D29" s="506"/>
      <c r="E29" s="506"/>
      <c r="F29" s="82"/>
      <c r="G29" s="82"/>
      <c r="H29" s="511"/>
      <c r="I29" s="330"/>
      <c r="J29" s="313"/>
      <c r="K29" s="10" t="s">
        <v>658</v>
      </c>
      <c r="L29" s="10">
        <v>11</v>
      </c>
      <c r="M29" s="390"/>
      <c r="N29" s="10" t="s">
        <v>76</v>
      </c>
      <c r="O29" s="10" t="s">
        <v>93</v>
      </c>
      <c r="P29" s="313"/>
      <c r="Q29" s="313"/>
      <c r="R29" s="313"/>
      <c r="S29" s="313"/>
      <c r="T29" s="313"/>
      <c r="U29" s="313"/>
      <c r="V29" s="390"/>
      <c r="W29" s="454"/>
      <c r="X29" s="330"/>
      <c r="Y29" s="330"/>
      <c r="Z29" s="330"/>
      <c r="AA29" s="330"/>
      <c r="AB29" s="330"/>
      <c r="AC29" s="330"/>
      <c r="AD29" s="10" t="s">
        <v>150</v>
      </c>
      <c r="AE29" s="10" t="s">
        <v>150</v>
      </c>
      <c r="AF29" s="10" t="s">
        <v>729</v>
      </c>
      <c r="AG29" s="10" t="s">
        <v>473</v>
      </c>
      <c r="AH29" s="10" t="s">
        <v>473</v>
      </c>
      <c r="AI29" s="10"/>
      <c r="AJ29" s="10" t="s">
        <v>517</v>
      </c>
      <c r="AK29" s="45" t="s">
        <v>730</v>
      </c>
    </row>
    <row r="30" spans="2:67" x14ac:dyDescent="0.3">
      <c r="B30" s="506"/>
      <c r="C30" s="506"/>
      <c r="D30" s="506"/>
      <c r="E30" s="506"/>
      <c r="F30" s="82"/>
      <c r="G30" s="82"/>
      <c r="H30" s="511"/>
      <c r="I30" s="330"/>
      <c r="J30" s="313"/>
      <c r="K30" s="10" t="s">
        <v>659</v>
      </c>
      <c r="L30" s="10">
        <v>16</v>
      </c>
      <c r="M30" s="390"/>
      <c r="N30" s="10" t="s">
        <v>76</v>
      </c>
      <c r="O30" s="10" t="s">
        <v>93</v>
      </c>
      <c r="P30" s="313"/>
      <c r="Q30" s="313"/>
      <c r="R30" s="313"/>
      <c r="S30" s="313"/>
      <c r="T30" s="313"/>
      <c r="U30" s="313"/>
      <c r="V30" s="390"/>
      <c r="W30" s="454"/>
      <c r="X30" s="330"/>
      <c r="Y30" s="330"/>
      <c r="Z30" s="330"/>
      <c r="AA30" s="330"/>
      <c r="AB30" s="330"/>
      <c r="AC30" s="330"/>
      <c r="AD30" s="10" t="s">
        <v>150</v>
      </c>
      <c r="AE30" s="10" t="s">
        <v>150</v>
      </c>
      <c r="AF30" s="10" t="s">
        <v>731</v>
      </c>
      <c r="AG30" s="10" t="s">
        <v>473</v>
      </c>
      <c r="AH30" s="10" t="s">
        <v>473</v>
      </c>
      <c r="AI30" s="10"/>
      <c r="AJ30" s="10" t="s">
        <v>235</v>
      </c>
      <c r="AK30" s="45" t="s">
        <v>732</v>
      </c>
    </row>
    <row r="31" spans="2:67" x14ac:dyDescent="0.3">
      <c r="B31" s="506"/>
      <c r="C31" s="506"/>
      <c r="D31" s="506"/>
      <c r="E31" s="506"/>
      <c r="F31" s="82"/>
      <c r="G31" s="82"/>
      <c r="H31" s="511"/>
      <c r="I31" s="330"/>
      <c r="J31" s="313"/>
      <c r="K31" s="10" t="s">
        <v>660</v>
      </c>
      <c r="L31" s="10">
        <v>16</v>
      </c>
      <c r="M31" s="390"/>
      <c r="N31" s="10" t="s">
        <v>76</v>
      </c>
      <c r="O31" s="10" t="s">
        <v>93</v>
      </c>
      <c r="P31" s="313"/>
      <c r="Q31" s="313"/>
      <c r="R31" s="313"/>
      <c r="S31" s="313"/>
      <c r="T31" s="313"/>
      <c r="U31" s="313"/>
      <c r="V31" s="390"/>
      <c r="W31" s="454"/>
      <c r="X31" s="330"/>
      <c r="Y31" s="330"/>
      <c r="Z31" s="330"/>
      <c r="AA31" s="330"/>
      <c r="AB31" s="330"/>
      <c r="AC31" s="330"/>
      <c r="AD31" s="10" t="s">
        <v>150</v>
      </c>
      <c r="AE31" s="10" t="s">
        <v>150</v>
      </c>
      <c r="AF31" s="10" t="s">
        <v>733</v>
      </c>
      <c r="AG31" s="10" t="s">
        <v>473</v>
      </c>
      <c r="AH31" s="10" t="s">
        <v>473</v>
      </c>
      <c r="AI31" s="10"/>
      <c r="AJ31" s="10" t="s">
        <v>525</v>
      </c>
      <c r="AK31" s="45" t="s">
        <v>730</v>
      </c>
    </row>
    <row r="32" spans="2:67" x14ac:dyDescent="0.3">
      <c r="B32" s="506"/>
      <c r="C32" s="506"/>
      <c r="D32" s="506"/>
      <c r="E32" s="506"/>
      <c r="F32" s="82"/>
      <c r="G32" s="82"/>
      <c r="H32" s="511"/>
      <c r="I32" s="330"/>
      <c r="J32" s="313"/>
      <c r="K32" s="10" t="s">
        <v>661</v>
      </c>
      <c r="L32" s="10" t="s">
        <v>662</v>
      </c>
      <c r="M32" s="390"/>
      <c r="N32" s="10" t="s">
        <v>393</v>
      </c>
      <c r="O32" s="10" t="s">
        <v>93</v>
      </c>
      <c r="P32" s="313"/>
      <c r="Q32" s="313"/>
      <c r="R32" s="313"/>
      <c r="S32" s="313"/>
      <c r="T32" s="313"/>
      <c r="U32" s="313"/>
      <c r="V32" s="390"/>
      <c r="W32" s="454"/>
      <c r="X32" s="330"/>
      <c r="Y32" s="330"/>
      <c r="Z32" s="330"/>
      <c r="AA32" s="330"/>
      <c r="AB32" s="330"/>
      <c r="AC32" s="330"/>
      <c r="AD32" s="10" t="s">
        <v>150</v>
      </c>
      <c r="AE32" s="10" t="s">
        <v>150</v>
      </c>
      <c r="AF32" s="10" t="s">
        <v>734</v>
      </c>
      <c r="AG32" s="10" t="s">
        <v>473</v>
      </c>
      <c r="AH32" s="10" t="s">
        <v>473</v>
      </c>
      <c r="AI32" s="10"/>
      <c r="AJ32" s="10" t="s">
        <v>240</v>
      </c>
      <c r="AK32" s="45" t="s">
        <v>735</v>
      </c>
    </row>
    <row r="33" spans="2:37" x14ac:dyDescent="0.3">
      <c r="B33" s="506"/>
      <c r="C33" s="506"/>
      <c r="D33" s="506"/>
      <c r="E33" s="506"/>
      <c r="F33" s="82"/>
      <c r="G33" s="82"/>
      <c r="H33" s="511"/>
      <c r="I33" s="330"/>
      <c r="J33" s="313"/>
      <c r="K33" s="10" t="s">
        <v>663</v>
      </c>
      <c r="L33" s="10" t="s">
        <v>664</v>
      </c>
      <c r="M33" s="390"/>
      <c r="N33" s="10" t="s">
        <v>76</v>
      </c>
      <c r="O33" s="10" t="s">
        <v>93</v>
      </c>
      <c r="P33" s="313"/>
      <c r="Q33" s="313"/>
      <c r="R33" s="313"/>
      <c r="S33" s="313"/>
      <c r="T33" s="313"/>
      <c r="U33" s="313"/>
      <c r="V33" s="390"/>
      <c r="W33" s="454"/>
      <c r="X33" s="330"/>
      <c r="Y33" s="330"/>
      <c r="Z33" s="330"/>
      <c r="AA33" s="330"/>
      <c r="AB33" s="330"/>
      <c r="AC33" s="330"/>
      <c r="AD33" s="10" t="s">
        <v>150</v>
      </c>
      <c r="AE33" s="10" t="s">
        <v>150</v>
      </c>
      <c r="AF33" s="10" t="s">
        <v>736</v>
      </c>
      <c r="AG33" s="10" t="s">
        <v>473</v>
      </c>
      <c r="AH33" s="10" t="s">
        <v>473</v>
      </c>
      <c r="AI33" s="10"/>
      <c r="AJ33" s="10" t="s">
        <v>737</v>
      </c>
      <c r="AK33" s="45" t="s">
        <v>737</v>
      </c>
    </row>
    <row r="34" spans="2:37" x14ac:dyDescent="0.3">
      <c r="B34" s="506"/>
      <c r="C34" s="506"/>
      <c r="D34" s="506"/>
      <c r="E34" s="506"/>
      <c r="F34" s="82"/>
      <c r="G34" s="82"/>
      <c r="H34" s="511"/>
      <c r="I34" s="330"/>
      <c r="J34" s="313"/>
      <c r="K34" s="10" t="s">
        <v>113</v>
      </c>
      <c r="L34" s="10">
        <v>49</v>
      </c>
      <c r="M34" s="390"/>
      <c r="N34" s="10" t="s">
        <v>76</v>
      </c>
      <c r="O34" s="10" t="s">
        <v>93</v>
      </c>
      <c r="P34" s="313"/>
      <c r="Q34" s="313"/>
      <c r="R34" s="313"/>
      <c r="S34" s="313"/>
      <c r="T34" s="313"/>
      <c r="U34" s="313"/>
      <c r="V34" s="390"/>
      <c r="W34" s="454"/>
      <c r="X34" s="330"/>
      <c r="Y34" s="330"/>
      <c r="Z34" s="330"/>
      <c r="AA34" s="330"/>
      <c r="AB34" s="330"/>
      <c r="AC34" s="330"/>
      <c r="AD34" s="10" t="s">
        <v>150</v>
      </c>
      <c r="AE34" s="10" t="s">
        <v>150</v>
      </c>
      <c r="AF34" s="10" t="s">
        <v>738</v>
      </c>
      <c r="AG34" s="10" t="s">
        <v>473</v>
      </c>
      <c r="AH34" s="10" t="s">
        <v>473</v>
      </c>
      <c r="AI34" s="10"/>
      <c r="AJ34" s="10" t="s">
        <v>285</v>
      </c>
      <c r="AK34" s="45" t="s">
        <v>739</v>
      </c>
    </row>
    <row r="35" spans="2:37" x14ac:dyDescent="0.3">
      <c r="B35" s="506"/>
      <c r="C35" s="506"/>
      <c r="D35" s="506"/>
      <c r="E35" s="506"/>
      <c r="F35" s="82"/>
      <c r="G35" s="82"/>
      <c r="H35" s="511"/>
      <c r="I35" s="330"/>
      <c r="J35" s="313"/>
      <c r="K35" s="10" t="s">
        <v>115</v>
      </c>
      <c r="L35" s="10">
        <v>182</v>
      </c>
      <c r="M35" s="390"/>
      <c r="N35" s="10" t="s">
        <v>76</v>
      </c>
      <c r="O35" s="10">
        <v>5</v>
      </c>
      <c r="P35" s="313"/>
      <c r="Q35" s="313"/>
      <c r="R35" s="313"/>
      <c r="S35" s="313"/>
      <c r="T35" s="313"/>
      <c r="U35" s="313"/>
      <c r="V35" s="390"/>
      <c r="W35" s="454"/>
      <c r="X35" s="330"/>
      <c r="Y35" s="330"/>
      <c r="Z35" s="330"/>
      <c r="AA35" s="330"/>
      <c r="AB35" s="330"/>
      <c r="AC35" s="330"/>
      <c r="AD35" s="10" t="s">
        <v>150</v>
      </c>
      <c r="AE35" s="10" t="s">
        <v>150</v>
      </c>
      <c r="AF35" s="10" t="s">
        <v>740</v>
      </c>
      <c r="AG35" s="10" t="s">
        <v>473</v>
      </c>
      <c r="AH35" s="10" t="s">
        <v>473</v>
      </c>
      <c r="AI35" s="10"/>
      <c r="AJ35" s="10" t="s">
        <v>287</v>
      </c>
      <c r="AK35" s="45" t="s">
        <v>741</v>
      </c>
    </row>
    <row r="36" spans="2:37" x14ac:dyDescent="0.3">
      <c r="B36" s="506"/>
      <c r="C36" s="506"/>
      <c r="D36" s="506"/>
      <c r="E36" s="506"/>
      <c r="F36" s="82"/>
      <c r="G36" s="82"/>
      <c r="H36" s="511"/>
      <c r="I36" s="330"/>
      <c r="J36" s="313"/>
      <c r="K36" s="10" t="s">
        <v>127</v>
      </c>
      <c r="L36" s="10">
        <v>381</v>
      </c>
      <c r="M36" s="390"/>
      <c r="N36" s="10" t="s">
        <v>76</v>
      </c>
      <c r="O36" s="10">
        <v>50</v>
      </c>
      <c r="P36" s="313"/>
      <c r="Q36" s="313"/>
      <c r="R36" s="313"/>
      <c r="S36" s="313"/>
      <c r="T36" s="313"/>
      <c r="U36" s="313"/>
      <c r="V36" s="390"/>
      <c r="W36" s="454"/>
      <c r="X36" s="330"/>
      <c r="Y36" s="330"/>
      <c r="Z36" s="330"/>
      <c r="AA36" s="330"/>
      <c r="AB36" s="330"/>
      <c r="AC36" s="330"/>
      <c r="AD36" s="10" t="s">
        <v>150</v>
      </c>
      <c r="AE36" s="10" t="s">
        <v>150</v>
      </c>
      <c r="AF36" s="10" t="s">
        <v>150</v>
      </c>
      <c r="AG36" s="10" t="s">
        <v>150</v>
      </c>
      <c r="AH36" s="10" t="s">
        <v>150</v>
      </c>
      <c r="AI36" s="10"/>
      <c r="AJ36" s="10" t="s">
        <v>150</v>
      </c>
      <c r="AK36" s="45" t="s">
        <v>150</v>
      </c>
    </row>
    <row r="37" spans="2:37" x14ac:dyDescent="0.3">
      <c r="B37" s="506"/>
      <c r="C37" s="506"/>
      <c r="D37" s="506"/>
      <c r="E37" s="506"/>
      <c r="F37" s="82"/>
      <c r="G37" s="82"/>
      <c r="H37" s="511"/>
      <c r="I37" s="330"/>
      <c r="J37" s="313"/>
      <c r="K37" s="10" t="s">
        <v>665</v>
      </c>
      <c r="L37" s="10">
        <v>381</v>
      </c>
      <c r="M37" s="390"/>
      <c r="N37" s="10" t="s">
        <v>575</v>
      </c>
      <c r="O37" s="10"/>
      <c r="P37" s="313"/>
      <c r="Q37" s="313"/>
      <c r="R37" s="313"/>
      <c r="S37" s="313"/>
      <c r="T37" s="313"/>
      <c r="U37" s="313"/>
      <c r="V37" s="390"/>
      <c r="W37" s="454"/>
      <c r="X37" s="330"/>
      <c r="Y37" s="330"/>
      <c r="Z37" s="330"/>
      <c r="AA37" s="330"/>
      <c r="AB37" s="330"/>
      <c r="AC37" s="330"/>
      <c r="AD37" s="10" t="s">
        <v>150</v>
      </c>
      <c r="AE37" s="10" t="s">
        <v>150</v>
      </c>
      <c r="AF37" s="10" t="s">
        <v>742</v>
      </c>
      <c r="AG37" s="10" t="s">
        <v>473</v>
      </c>
      <c r="AH37" s="10" t="s">
        <v>473</v>
      </c>
      <c r="AI37" s="10"/>
      <c r="AJ37" s="10" t="s">
        <v>743</v>
      </c>
      <c r="AK37" s="45" t="s">
        <v>743</v>
      </c>
    </row>
    <row r="38" spans="2:37" x14ac:dyDescent="0.3">
      <c r="B38" s="506"/>
      <c r="C38" s="506"/>
      <c r="D38" s="506"/>
      <c r="E38" s="506"/>
      <c r="F38" s="82"/>
      <c r="G38" s="82"/>
      <c r="H38" s="511"/>
      <c r="I38" s="330"/>
      <c r="J38" s="313"/>
      <c r="K38" s="10" t="s">
        <v>367</v>
      </c>
      <c r="L38" s="10"/>
      <c r="M38" s="390"/>
      <c r="N38" s="10" t="s">
        <v>76</v>
      </c>
      <c r="O38" s="10" t="s">
        <v>426</v>
      </c>
      <c r="P38" s="313"/>
      <c r="Q38" s="313"/>
      <c r="R38" s="313"/>
      <c r="S38" s="313"/>
      <c r="T38" s="313"/>
      <c r="U38" s="313"/>
      <c r="V38" s="390"/>
      <c r="W38" s="454"/>
      <c r="X38" s="330"/>
      <c r="Y38" s="330"/>
      <c r="Z38" s="330"/>
      <c r="AA38" s="330"/>
      <c r="AB38" s="330"/>
      <c r="AC38" s="330"/>
      <c r="AD38" s="10" t="s">
        <v>150</v>
      </c>
      <c r="AE38" s="10" t="s">
        <v>150</v>
      </c>
      <c r="AF38" s="10" t="s">
        <v>150</v>
      </c>
      <c r="AG38" s="10" t="s">
        <v>150</v>
      </c>
      <c r="AH38" s="10" t="s">
        <v>150</v>
      </c>
      <c r="AI38" s="10"/>
      <c r="AJ38" s="10" t="s">
        <v>150</v>
      </c>
      <c r="AK38" s="45" t="s">
        <v>150</v>
      </c>
    </row>
    <row r="39" spans="2:37" x14ac:dyDescent="0.3">
      <c r="B39" s="506"/>
      <c r="C39" s="506"/>
      <c r="D39" s="506"/>
      <c r="E39" s="506"/>
      <c r="F39" s="82"/>
      <c r="G39" s="82"/>
      <c r="H39" s="511"/>
      <c r="I39" s="330"/>
      <c r="J39" s="313"/>
      <c r="K39" s="10" t="s">
        <v>368</v>
      </c>
      <c r="L39" s="12">
        <v>12453</v>
      </c>
      <c r="M39" s="390"/>
      <c r="N39" s="10" t="s">
        <v>410</v>
      </c>
      <c r="O39" s="10"/>
      <c r="P39" s="313"/>
      <c r="Q39" s="313"/>
      <c r="R39" s="313"/>
      <c r="S39" s="313"/>
      <c r="T39" s="313"/>
      <c r="U39" s="313"/>
      <c r="V39" s="390"/>
      <c r="W39" s="454"/>
      <c r="X39" s="330"/>
      <c r="Y39" s="330"/>
      <c r="Z39" s="330"/>
      <c r="AA39" s="330"/>
      <c r="AB39" s="330"/>
      <c r="AC39" s="330"/>
      <c r="AD39" s="10" t="s">
        <v>150</v>
      </c>
      <c r="AE39" s="10" t="s">
        <v>150</v>
      </c>
      <c r="AF39" s="10" t="s">
        <v>744</v>
      </c>
      <c r="AG39" s="10" t="s">
        <v>473</v>
      </c>
      <c r="AH39" s="10" t="s">
        <v>473</v>
      </c>
      <c r="AI39" s="10"/>
      <c r="AJ39" s="10" t="s">
        <v>289</v>
      </c>
      <c r="AK39" s="45" t="s">
        <v>289</v>
      </c>
    </row>
    <row r="40" spans="2:37" x14ac:dyDescent="0.3">
      <c r="B40" s="506"/>
      <c r="C40" s="506"/>
      <c r="D40" s="506"/>
      <c r="E40" s="506"/>
      <c r="F40" s="82"/>
      <c r="G40" s="82"/>
      <c r="H40" s="511"/>
      <c r="I40" s="330"/>
      <c r="J40" s="313"/>
      <c r="K40" s="10" t="s">
        <v>369</v>
      </c>
      <c r="L40" s="12">
        <v>6805</v>
      </c>
      <c r="M40" s="390"/>
      <c r="N40" s="10" t="s">
        <v>411</v>
      </c>
      <c r="O40" s="10"/>
      <c r="P40" s="313"/>
      <c r="Q40" s="313"/>
      <c r="R40" s="313"/>
      <c r="S40" s="313"/>
      <c r="T40" s="313"/>
      <c r="U40" s="313"/>
      <c r="V40" s="390"/>
      <c r="W40" s="454"/>
      <c r="X40" s="330"/>
      <c r="Y40" s="330"/>
      <c r="Z40" s="330"/>
      <c r="AA40" s="330"/>
      <c r="AB40" s="330"/>
      <c r="AC40" s="330"/>
      <c r="AD40" s="10" t="s">
        <v>150</v>
      </c>
      <c r="AE40" s="10" t="s">
        <v>150</v>
      </c>
      <c r="AF40" s="10" t="s">
        <v>745</v>
      </c>
      <c r="AG40" s="10" t="s">
        <v>473</v>
      </c>
      <c r="AH40" s="10" t="s">
        <v>473</v>
      </c>
      <c r="AI40" s="10"/>
      <c r="AJ40" s="10" t="s">
        <v>289</v>
      </c>
      <c r="AK40" s="45" t="s">
        <v>289</v>
      </c>
    </row>
    <row r="41" spans="2:37" x14ac:dyDescent="0.3">
      <c r="B41" s="506"/>
      <c r="C41" s="506"/>
      <c r="D41" s="506"/>
      <c r="E41" s="506"/>
      <c r="F41" s="82"/>
      <c r="G41" s="82"/>
      <c r="H41" s="511"/>
      <c r="I41" s="330"/>
      <c r="J41" s="314"/>
      <c r="K41" s="11" t="s">
        <v>579</v>
      </c>
      <c r="L41" s="10"/>
      <c r="M41" s="391"/>
      <c r="N41" s="10"/>
      <c r="O41" s="10"/>
      <c r="P41" s="314"/>
      <c r="Q41" s="314"/>
      <c r="R41" s="314"/>
      <c r="S41" s="314"/>
      <c r="T41" s="314"/>
      <c r="U41" s="314"/>
      <c r="V41" s="391"/>
      <c r="W41" s="455"/>
      <c r="X41" s="330"/>
      <c r="Y41" s="330"/>
      <c r="Z41" s="330"/>
      <c r="AA41" s="330"/>
      <c r="AB41" s="330"/>
      <c r="AC41" s="330"/>
      <c r="AD41" s="10" t="s">
        <v>150</v>
      </c>
      <c r="AE41" s="217">
        <v>5.3499999999999999E-4</v>
      </c>
      <c r="AF41" s="28" t="s">
        <v>742</v>
      </c>
      <c r="AG41" s="28" t="s">
        <v>473</v>
      </c>
      <c r="AH41" s="28" t="s">
        <v>473</v>
      </c>
      <c r="AI41" s="28"/>
      <c r="AJ41" s="28" t="s">
        <v>473</v>
      </c>
      <c r="AK41" s="46" t="s">
        <v>473</v>
      </c>
    </row>
    <row r="42" spans="2:37" ht="14.4" customHeight="1" x14ac:dyDescent="0.3">
      <c r="B42" s="506"/>
      <c r="C42" s="506"/>
      <c r="D42" s="506"/>
      <c r="E42" s="506"/>
      <c r="F42" s="82"/>
      <c r="G42" s="82"/>
      <c r="H42" s="511"/>
      <c r="I42" s="330" t="s">
        <v>924</v>
      </c>
      <c r="J42" s="524" t="s">
        <v>1038</v>
      </c>
      <c r="K42" s="10" t="s">
        <v>75</v>
      </c>
      <c r="L42" s="10">
        <v>124</v>
      </c>
      <c r="M42" s="507" t="s">
        <v>1064</v>
      </c>
      <c r="N42" s="10" t="s">
        <v>76</v>
      </c>
      <c r="O42" s="10">
        <v>29</v>
      </c>
      <c r="P42" s="524" t="s">
        <v>1034</v>
      </c>
      <c r="Q42" s="344" t="s">
        <v>845</v>
      </c>
      <c r="R42" s="524" t="s">
        <v>580</v>
      </c>
      <c r="S42" s="344" t="s">
        <v>999</v>
      </c>
      <c r="T42" s="524" t="s">
        <v>668</v>
      </c>
      <c r="U42" s="524" t="s">
        <v>668</v>
      </c>
      <c r="V42" s="330" t="s">
        <v>993</v>
      </c>
      <c r="W42" s="525" t="s">
        <v>1092</v>
      </c>
      <c r="X42" s="330" t="s">
        <v>360</v>
      </c>
      <c r="Y42" s="330"/>
      <c r="Z42" s="330"/>
      <c r="AA42" s="330"/>
      <c r="AB42" s="330"/>
      <c r="AC42" s="330"/>
      <c r="AD42" s="330"/>
      <c r="AE42" s="330"/>
      <c r="AF42" s="10" t="s">
        <v>760</v>
      </c>
      <c r="AG42" s="10" t="s">
        <v>761</v>
      </c>
      <c r="AH42" s="10" t="s">
        <v>762</v>
      </c>
      <c r="AI42" s="10"/>
      <c r="AJ42" s="10" t="s">
        <v>446</v>
      </c>
      <c r="AK42" s="45" t="s">
        <v>676</v>
      </c>
    </row>
    <row r="43" spans="2:37" x14ac:dyDescent="0.3">
      <c r="B43" s="506"/>
      <c r="C43" s="506"/>
      <c r="D43" s="506"/>
      <c r="E43" s="506"/>
      <c r="F43" s="82"/>
      <c r="G43" s="82"/>
      <c r="H43" s="511"/>
      <c r="I43" s="330"/>
      <c r="J43" s="524"/>
      <c r="K43" s="10" t="s">
        <v>77</v>
      </c>
      <c r="L43" s="10" t="s">
        <v>746</v>
      </c>
      <c r="M43" s="390"/>
      <c r="N43" s="10" t="s">
        <v>76</v>
      </c>
      <c r="O43" s="10">
        <v>2</v>
      </c>
      <c r="P43" s="524"/>
      <c r="Q43" s="313"/>
      <c r="R43" s="524"/>
      <c r="S43" s="313"/>
      <c r="T43" s="524"/>
      <c r="U43" s="524"/>
      <c r="V43" s="330"/>
      <c r="W43" s="454"/>
      <c r="X43" s="330"/>
      <c r="Y43" s="330"/>
      <c r="Z43" s="330"/>
      <c r="AA43" s="330"/>
      <c r="AB43" s="330"/>
      <c r="AC43" s="330"/>
      <c r="AD43" s="330"/>
      <c r="AE43" s="330"/>
      <c r="AF43" s="10" t="s">
        <v>763</v>
      </c>
      <c r="AG43" s="10" t="s">
        <v>285</v>
      </c>
      <c r="AH43" s="10" t="s">
        <v>764</v>
      </c>
      <c r="AI43" s="10"/>
      <c r="AJ43" s="10" t="s">
        <v>186</v>
      </c>
      <c r="AK43" s="45" t="s">
        <v>187</v>
      </c>
    </row>
    <row r="44" spans="2:37" x14ac:dyDescent="0.3">
      <c r="B44" s="506"/>
      <c r="C44" s="506"/>
      <c r="D44" s="506"/>
      <c r="E44" s="506"/>
      <c r="F44" s="82"/>
      <c r="G44" s="82"/>
      <c r="H44" s="511"/>
      <c r="I44" s="330"/>
      <c r="J44" s="524"/>
      <c r="K44" s="10" t="s">
        <v>361</v>
      </c>
      <c r="L44" s="10">
        <v>366</v>
      </c>
      <c r="M44" s="390"/>
      <c r="N44" s="10" t="s">
        <v>76</v>
      </c>
      <c r="O44" s="10">
        <v>150</v>
      </c>
      <c r="P44" s="524"/>
      <c r="Q44" s="313"/>
      <c r="R44" s="524"/>
      <c r="S44" s="313"/>
      <c r="T44" s="524"/>
      <c r="U44" s="524"/>
      <c r="V44" s="330"/>
      <c r="W44" s="454"/>
      <c r="X44" s="330"/>
      <c r="Y44" s="330"/>
      <c r="Z44" s="330"/>
      <c r="AA44" s="330"/>
      <c r="AB44" s="330"/>
      <c r="AC44" s="330"/>
      <c r="AD44" s="330"/>
      <c r="AE44" s="330"/>
      <c r="AF44" s="10" t="s">
        <v>765</v>
      </c>
      <c r="AG44" s="10" t="s">
        <v>766</v>
      </c>
      <c r="AH44" s="10" t="s">
        <v>767</v>
      </c>
      <c r="AI44" s="10"/>
      <c r="AJ44" s="10" t="s">
        <v>681</v>
      </c>
      <c r="AK44" s="45" t="s">
        <v>682</v>
      </c>
    </row>
    <row r="45" spans="2:37" x14ac:dyDescent="0.3">
      <c r="B45" s="506"/>
      <c r="C45" s="506"/>
      <c r="D45" s="506"/>
      <c r="E45" s="506"/>
      <c r="F45" s="82"/>
      <c r="G45" s="82"/>
      <c r="H45" s="511"/>
      <c r="I45" s="330"/>
      <c r="J45" s="524"/>
      <c r="K45" s="10" t="s">
        <v>362</v>
      </c>
      <c r="L45" s="10" t="s">
        <v>747</v>
      </c>
      <c r="M45" s="390"/>
      <c r="N45" s="10" t="s">
        <v>375</v>
      </c>
      <c r="O45" s="10">
        <v>1</v>
      </c>
      <c r="P45" s="524"/>
      <c r="Q45" s="313"/>
      <c r="R45" s="524"/>
      <c r="S45" s="313"/>
      <c r="T45" s="524"/>
      <c r="U45" s="524"/>
      <c r="V45" s="330"/>
      <c r="W45" s="454"/>
      <c r="X45" s="330"/>
      <c r="Y45" s="330"/>
      <c r="Z45" s="330"/>
      <c r="AA45" s="330"/>
      <c r="AB45" s="330"/>
      <c r="AC45" s="330"/>
      <c r="AD45" s="330"/>
      <c r="AE45" s="330"/>
      <c r="AF45" s="10" t="s">
        <v>721</v>
      </c>
      <c r="AG45" s="10" t="s">
        <v>768</v>
      </c>
      <c r="AH45" s="10" t="s">
        <v>769</v>
      </c>
      <c r="AI45" s="10"/>
      <c r="AJ45" s="10" t="s">
        <v>691</v>
      </c>
      <c r="AK45" s="45" t="s">
        <v>692</v>
      </c>
    </row>
    <row r="46" spans="2:37" x14ac:dyDescent="0.3">
      <c r="B46" s="506"/>
      <c r="C46" s="506"/>
      <c r="D46" s="506"/>
      <c r="E46" s="506"/>
      <c r="F46" s="82"/>
      <c r="G46" s="82"/>
      <c r="H46" s="511"/>
      <c r="I46" s="330"/>
      <c r="J46" s="524"/>
      <c r="K46" s="10" t="s">
        <v>80</v>
      </c>
      <c r="L46" s="10">
        <v>788</v>
      </c>
      <c r="M46" s="390"/>
      <c r="N46" s="10" t="s">
        <v>76</v>
      </c>
      <c r="O46" s="10">
        <v>103</v>
      </c>
      <c r="P46" s="524"/>
      <c r="Q46" s="313"/>
      <c r="R46" s="524"/>
      <c r="S46" s="313"/>
      <c r="T46" s="524"/>
      <c r="U46" s="524"/>
      <c r="V46" s="330"/>
      <c r="W46" s="454"/>
      <c r="X46" s="330"/>
      <c r="Y46" s="330"/>
      <c r="Z46" s="330"/>
      <c r="AA46" s="330"/>
      <c r="AB46" s="330"/>
      <c r="AC46" s="330"/>
      <c r="AD46" s="330"/>
      <c r="AE46" s="330"/>
      <c r="AF46" s="10" t="s">
        <v>770</v>
      </c>
      <c r="AG46" s="10" t="s">
        <v>771</v>
      </c>
      <c r="AH46" s="10" t="s">
        <v>772</v>
      </c>
      <c r="AI46" s="10"/>
      <c r="AJ46" s="10" t="s">
        <v>465</v>
      </c>
      <c r="AK46" s="45" t="s">
        <v>700</v>
      </c>
    </row>
    <row r="47" spans="2:37" x14ac:dyDescent="0.3">
      <c r="B47" s="506"/>
      <c r="C47" s="506"/>
      <c r="D47" s="506"/>
      <c r="E47" s="506"/>
      <c r="F47" s="82"/>
      <c r="G47" s="82"/>
      <c r="H47" s="511"/>
      <c r="I47" s="330"/>
      <c r="J47" s="524"/>
      <c r="K47" s="10" t="s">
        <v>171</v>
      </c>
      <c r="L47" s="10">
        <v>239</v>
      </c>
      <c r="M47" s="390"/>
      <c r="N47" s="10" t="s">
        <v>76</v>
      </c>
      <c r="O47" s="10">
        <v>120</v>
      </c>
      <c r="P47" s="524"/>
      <c r="Q47" s="313"/>
      <c r="R47" s="524"/>
      <c r="S47" s="313"/>
      <c r="T47" s="524"/>
      <c r="U47" s="524"/>
      <c r="V47" s="330"/>
      <c r="W47" s="454"/>
      <c r="X47" s="330"/>
      <c r="Y47" s="330"/>
      <c r="Z47" s="330"/>
      <c r="AA47" s="330"/>
      <c r="AB47" s="330"/>
      <c r="AC47" s="330"/>
      <c r="AD47" s="330"/>
      <c r="AE47" s="330"/>
      <c r="AF47" s="10" t="s">
        <v>773</v>
      </c>
      <c r="AG47" s="10" t="s">
        <v>774</v>
      </c>
      <c r="AH47" s="10" t="s">
        <v>775</v>
      </c>
      <c r="AI47" s="10"/>
      <c r="AJ47" s="10" t="s">
        <v>470</v>
      </c>
      <c r="AK47" s="45" t="s">
        <v>704</v>
      </c>
    </row>
    <row r="48" spans="2:37" x14ac:dyDescent="0.3">
      <c r="B48" s="506"/>
      <c r="C48" s="506"/>
      <c r="D48" s="506"/>
      <c r="E48" s="506"/>
      <c r="F48" s="82"/>
      <c r="G48" s="82"/>
      <c r="H48" s="511"/>
      <c r="I48" s="330"/>
      <c r="J48" s="524"/>
      <c r="K48" s="10" t="s">
        <v>363</v>
      </c>
      <c r="L48" s="10">
        <v>39</v>
      </c>
      <c r="M48" s="390"/>
      <c r="N48" s="10" t="s">
        <v>76</v>
      </c>
      <c r="O48" s="10">
        <v>14</v>
      </c>
      <c r="P48" s="524"/>
      <c r="Q48" s="313"/>
      <c r="R48" s="524"/>
      <c r="S48" s="313"/>
      <c r="T48" s="524"/>
      <c r="U48" s="524"/>
      <c r="V48" s="330"/>
      <c r="W48" s="454"/>
      <c r="X48" s="330"/>
      <c r="Y48" s="330"/>
      <c r="Z48" s="330"/>
      <c r="AA48" s="330"/>
      <c r="AB48" s="330"/>
      <c r="AC48" s="330"/>
      <c r="AD48" s="330"/>
      <c r="AE48" s="330"/>
      <c r="AF48" s="10" t="s">
        <v>776</v>
      </c>
      <c r="AG48" s="10" t="s">
        <v>473</v>
      </c>
      <c r="AH48" s="10" t="s">
        <v>473</v>
      </c>
      <c r="AI48" s="10"/>
      <c r="AJ48" s="10" t="s">
        <v>473</v>
      </c>
      <c r="AK48" s="45" t="s">
        <v>473</v>
      </c>
    </row>
    <row r="49" spans="2:37" x14ac:dyDescent="0.3">
      <c r="B49" s="506"/>
      <c r="C49" s="506"/>
      <c r="D49" s="506"/>
      <c r="E49" s="506"/>
      <c r="F49" s="82"/>
      <c r="G49" s="82"/>
      <c r="H49" s="511"/>
      <c r="I49" s="330"/>
      <c r="J49" s="524"/>
      <c r="K49" s="10" t="s">
        <v>83</v>
      </c>
      <c r="L49" s="10">
        <v>6</v>
      </c>
      <c r="M49" s="390"/>
      <c r="N49" s="10" t="s">
        <v>76</v>
      </c>
      <c r="O49" s="10">
        <v>1</v>
      </c>
      <c r="P49" s="524"/>
      <c r="Q49" s="313"/>
      <c r="R49" s="524"/>
      <c r="S49" s="313"/>
      <c r="T49" s="524"/>
      <c r="U49" s="524"/>
      <c r="V49" s="330"/>
      <c r="W49" s="454"/>
      <c r="X49" s="330"/>
      <c r="Y49" s="330"/>
      <c r="Z49" s="330"/>
      <c r="AA49" s="330"/>
      <c r="AB49" s="330"/>
      <c r="AC49" s="330"/>
      <c r="AD49" s="330"/>
      <c r="AE49" s="330"/>
      <c r="AF49" s="10" t="s">
        <v>777</v>
      </c>
      <c r="AG49" s="10" t="s">
        <v>473</v>
      </c>
      <c r="AH49" s="10" t="s">
        <v>473</v>
      </c>
      <c r="AI49" s="10"/>
      <c r="AJ49" s="10" t="s">
        <v>473</v>
      </c>
      <c r="AK49" s="45" t="s">
        <v>473</v>
      </c>
    </row>
    <row r="50" spans="2:37" x14ac:dyDescent="0.3">
      <c r="B50" s="506"/>
      <c r="C50" s="506"/>
      <c r="D50" s="506"/>
      <c r="E50" s="506"/>
      <c r="F50" s="82"/>
      <c r="G50" s="82"/>
      <c r="H50" s="511"/>
      <c r="I50" s="330"/>
      <c r="J50" s="524"/>
      <c r="K50" s="10" t="s">
        <v>85</v>
      </c>
      <c r="L50" s="10">
        <v>637</v>
      </c>
      <c r="M50" s="390"/>
      <c r="N50" s="10" t="s">
        <v>76</v>
      </c>
      <c r="O50" s="10">
        <v>100</v>
      </c>
      <c r="P50" s="524"/>
      <c r="Q50" s="313"/>
      <c r="R50" s="524"/>
      <c r="S50" s="313"/>
      <c r="T50" s="524"/>
      <c r="U50" s="524"/>
      <c r="V50" s="330"/>
      <c r="W50" s="454"/>
      <c r="X50" s="330"/>
      <c r="Y50" s="330"/>
      <c r="Z50" s="330"/>
      <c r="AA50" s="330"/>
      <c r="AB50" s="330"/>
      <c r="AC50" s="330"/>
      <c r="AD50" s="330"/>
      <c r="AE50" s="330"/>
      <c r="AF50" s="10" t="s">
        <v>226</v>
      </c>
      <c r="AG50" s="10" t="s">
        <v>778</v>
      </c>
      <c r="AH50" s="10" t="s">
        <v>779</v>
      </c>
      <c r="AI50" s="10"/>
      <c r="AJ50" s="10" t="s">
        <v>480</v>
      </c>
      <c r="AK50" s="45" t="s">
        <v>714</v>
      </c>
    </row>
    <row r="51" spans="2:37" x14ac:dyDescent="0.3">
      <c r="B51" s="506"/>
      <c r="C51" s="506"/>
      <c r="D51" s="506"/>
      <c r="E51" s="506"/>
      <c r="F51" s="82"/>
      <c r="G51" s="82"/>
      <c r="H51" s="511"/>
      <c r="I51" s="330"/>
      <c r="J51" s="524"/>
      <c r="K51" s="10" t="s">
        <v>86</v>
      </c>
      <c r="L51" s="10">
        <v>1995</v>
      </c>
      <c r="M51" s="390"/>
      <c r="N51" s="10" t="s">
        <v>76</v>
      </c>
      <c r="O51" s="10">
        <v>158</v>
      </c>
      <c r="P51" s="524"/>
      <c r="Q51" s="313"/>
      <c r="R51" s="524"/>
      <c r="S51" s="313"/>
      <c r="T51" s="524"/>
      <c r="U51" s="524"/>
      <c r="V51" s="330"/>
      <c r="W51" s="454"/>
      <c r="X51" s="330"/>
      <c r="Y51" s="330"/>
      <c r="Z51" s="330"/>
      <c r="AA51" s="330"/>
      <c r="AB51" s="330"/>
      <c r="AC51" s="330"/>
      <c r="AD51" s="330"/>
      <c r="AE51" s="330"/>
      <c r="AF51" s="10" t="s">
        <v>308</v>
      </c>
      <c r="AG51" s="10" t="s">
        <v>780</v>
      </c>
      <c r="AH51" s="10" t="s">
        <v>781</v>
      </c>
      <c r="AI51" s="10"/>
      <c r="AJ51" s="10" t="s">
        <v>207</v>
      </c>
      <c r="AK51" s="45" t="s">
        <v>718</v>
      </c>
    </row>
    <row r="52" spans="2:37" x14ac:dyDescent="0.3">
      <c r="B52" s="506"/>
      <c r="C52" s="506"/>
      <c r="D52" s="506"/>
      <c r="E52" s="506"/>
      <c r="F52" s="82"/>
      <c r="G52" s="82"/>
      <c r="H52" s="511"/>
      <c r="I52" s="330"/>
      <c r="J52" s="524"/>
      <c r="K52" s="10" t="s">
        <v>653</v>
      </c>
      <c r="L52" s="10" t="s">
        <v>748</v>
      </c>
      <c r="M52" s="390"/>
      <c r="N52" s="10" t="s">
        <v>76</v>
      </c>
      <c r="O52" s="10" t="s">
        <v>90</v>
      </c>
      <c r="P52" s="524"/>
      <c r="Q52" s="313"/>
      <c r="R52" s="524"/>
      <c r="S52" s="313"/>
      <c r="T52" s="524"/>
      <c r="U52" s="524"/>
      <c r="V52" s="330"/>
      <c r="W52" s="454"/>
      <c r="X52" s="330"/>
      <c r="Y52" s="330"/>
      <c r="Z52" s="330"/>
      <c r="AA52" s="330"/>
      <c r="AB52" s="330"/>
      <c r="AC52" s="330"/>
      <c r="AD52" s="330"/>
      <c r="AE52" s="330"/>
      <c r="AF52" s="10" t="s">
        <v>782</v>
      </c>
      <c r="AG52" s="10" t="s">
        <v>473</v>
      </c>
      <c r="AH52" s="10" t="s">
        <v>473</v>
      </c>
      <c r="AI52" s="10"/>
      <c r="AJ52" s="10" t="s">
        <v>214</v>
      </c>
      <c r="AK52" s="45" t="s">
        <v>720</v>
      </c>
    </row>
    <row r="53" spans="2:37" x14ac:dyDescent="0.3">
      <c r="B53" s="506"/>
      <c r="C53" s="506"/>
      <c r="D53" s="506"/>
      <c r="E53" s="506"/>
      <c r="F53" s="82"/>
      <c r="G53" s="82"/>
      <c r="H53" s="511"/>
      <c r="I53" s="330"/>
      <c r="J53" s="524"/>
      <c r="K53" s="10" t="s">
        <v>654</v>
      </c>
      <c r="L53" s="10" t="s">
        <v>749</v>
      </c>
      <c r="M53" s="390"/>
      <c r="N53" s="10" t="s">
        <v>76</v>
      </c>
      <c r="O53" s="10" t="s">
        <v>93</v>
      </c>
      <c r="P53" s="524"/>
      <c r="Q53" s="313"/>
      <c r="R53" s="524"/>
      <c r="S53" s="313"/>
      <c r="T53" s="524"/>
      <c r="U53" s="524"/>
      <c r="V53" s="330"/>
      <c r="W53" s="454"/>
      <c r="X53" s="330"/>
      <c r="Y53" s="330"/>
      <c r="Z53" s="330"/>
      <c r="AA53" s="330"/>
      <c r="AB53" s="330"/>
      <c r="AC53" s="330"/>
      <c r="AD53" s="330"/>
      <c r="AE53" s="330"/>
      <c r="AF53" s="10" t="s">
        <v>783</v>
      </c>
      <c r="AG53" s="10" t="s">
        <v>473</v>
      </c>
      <c r="AH53" s="10" t="s">
        <v>473</v>
      </c>
      <c r="AI53" s="10"/>
      <c r="AJ53" s="10" t="s">
        <v>217</v>
      </c>
      <c r="AK53" s="45" t="s">
        <v>722</v>
      </c>
    </row>
    <row r="54" spans="2:37" x14ac:dyDescent="0.3">
      <c r="B54" s="506"/>
      <c r="C54" s="506"/>
      <c r="D54" s="506"/>
      <c r="E54" s="506"/>
      <c r="F54" s="82"/>
      <c r="G54" s="82"/>
      <c r="H54" s="511"/>
      <c r="I54" s="330"/>
      <c r="J54" s="524"/>
      <c r="K54" s="10" t="s">
        <v>655</v>
      </c>
      <c r="L54" s="10" t="s">
        <v>750</v>
      </c>
      <c r="M54" s="390"/>
      <c r="N54" s="10" t="s">
        <v>76</v>
      </c>
      <c r="O54" s="10" t="s">
        <v>90</v>
      </c>
      <c r="P54" s="524"/>
      <c r="Q54" s="313"/>
      <c r="R54" s="524"/>
      <c r="S54" s="313"/>
      <c r="T54" s="524"/>
      <c r="U54" s="524"/>
      <c r="V54" s="330"/>
      <c r="W54" s="454"/>
      <c r="X54" s="330"/>
      <c r="Y54" s="330"/>
      <c r="Z54" s="330"/>
      <c r="AA54" s="330"/>
      <c r="AB54" s="330"/>
      <c r="AC54" s="330"/>
      <c r="AD54" s="330"/>
      <c r="AE54" s="330"/>
      <c r="AF54" s="10" t="s">
        <v>517</v>
      </c>
      <c r="AG54" s="10" t="s">
        <v>473</v>
      </c>
      <c r="AH54" s="10" t="s">
        <v>473</v>
      </c>
      <c r="AI54" s="10"/>
      <c r="AJ54" s="10" t="s">
        <v>221</v>
      </c>
      <c r="AK54" s="45" t="s">
        <v>724</v>
      </c>
    </row>
    <row r="55" spans="2:37" x14ac:dyDescent="0.3">
      <c r="B55" s="506"/>
      <c r="C55" s="506"/>
      <c r="D55" s="506"/>
      <c r="E55" s="506"/>
      <c r="F55" s="82"/>
      <c r="G55" s="82"/>
      <c r="H55" s="511"/>
      <c r="I55" s="330"/>
      <c r="J55" s="524"/>
      <c r="K55" s="10" t="s">
        <v>656</v>
      </c>
      <c r="L55" s="10" t="s">
        <v>751</v>
      </c>
      <c r="M55" s="390"/>
      <c r="N55" s="10" t="s">
        <v>76</v>
      </c>
      <c r="O55" s="10" t="s">
        <v>93</v>
      </c>
      <c r="P55" s="524"/>
      <c r="Q55" s="313"/>
      <c r="R55" s="524"/>
      <c r="S55" s="313"/>
      <c r="T55" s="524"/>
      <c r="U55" s="524"/>
      <c r="V55" s="330"/>
      <c r="W55" s="454"/>
      <c r="X55" s="330"/>
      <c r="Y55" s="330"/>
      <c r="Z55" s="330"/>
      <c r="AA55" s="330"/>
      <c r="AB55" s="330"/>
      <c r="AC55" s="330"/>
      <c r="AD55" s="330"/>
      <c r="AE55" s="330"/>
      <c r="AF55" s="10" t="s">
        <v>337</v>
      </c>
      <c r="AG55" s="10" t="s">
        <v>473</v>
      </c>
      <c r="AH55" s="10" t="s">
        <v>473</v>
      </c>
      <c r="AI55" s="10"/>
      <c r="AJ55" s="10" t="s">
        <v>224</v>
      </c>
      <c r="AK55" s="45" t="s">
        <v>725</v>
      </c>
    </row>
    <row r="56" spans="2:37" x14ac:dyDescent="0.3">
      <c r="B56" s="506"/>
      <c r="C56" s="506"/>
      <c r="D56" s="506"/>
      <c r="E56" s="506"/>
      <c r="F56" s="82"/>
      <c r="G56" s="82"/>
      <c r="H56" s="511"/>
      <c r="I56" s="330"/>
      <c r="J56" s="524"/>
      <c r="K56" s="10" t="s">
        <v>657</v>
      </c>
      <c r="L56" s="10" t="s">
        <v>398</v>
      </c>
      <c r="M56" s="390"/>
      <c r="N56" s="10" t="s">
        <v>76</v>
      </c>
      <c r="O56" s="10" t="s">
        <v>90</v>
      </c>
      <c r="P56" s="524"/>
      <c r="Q56" s="313"/>
      <c r="R56" s="524"/>
      <c r="S56" s="313"/>
      <c r="T56" s="524"/>
      <c r="U56" s="524"/>
      <c r="V56" s="330"/>
      <c r="W56" s="454"/>
      <c r="X56" s="330"/>
      <c r="Y56" s="330"/>
      <c r="Z56" s="330"/>
      <c r="AA56" s="330"/>
      <c r="AB56" s="330"/>
      <c r="AC56" s="330"/>
      <c r="AD56" s="330"/>
      <c r="AE56" s="330"/>
      <c r="AF56" s="10" t="s">
        <v>784</v>
      </c>
      <c r="AG56" s="10" t="s">
        <v>473</v>
      </c>
      <c r="AH56" s="10" t="s">
        <v>473</v>
      </c>
      <c r="AI56" s="10"/>
      <c r="AJ56" s="10" t="s">
        <v>196</v>
      </c>
      <c r="AK56" s="45" t="s">
        <v>726</v>
      </c>
    </row>
    <row r="57" spans="2:37" x14ac:dyDescent="0.3">
      <c r="B57" s="506"/>
      <c r="C57" s="506"/>
      <c r="D57" s="506"/>
      <c r="E57" s="506"/>
      <c r="F57" s="82"/>
      <c r="G57" s="82"/>
      <c r="H57" s="511"/>
      <c r="I57" s="330"/>
      <c r="J57" s="524"/>
      <c r="K57" s="10" t="s">
        <v>658</v>
      </c>
      <c r="L57" s="10" t="s">
        <v>752</v>
      </c>
      <c r="M57" s="390"/>
      <c r="N57" s="10" t="s">
        <v>76</v>
      </c>
      <c r="O57" s="10" t="s">
        <v>93</v>
      </c>
      <c r="P57" s="524"/>
      <c r="Q57" s="313"/>
      <c r="R57" s="524"/>
      <c r="S57" s="313"/>
      <c r="T57" s="524"/>
      <c r="U57" s="524"/>
      <c r="V57" s="330"/>
      <c r="W57" s="454"/>
      <c r="X57" s="330"/>
      <c r="Y57" s="330"/>
      <c r="Z57" s="330"/>
      <c r="AA57" s="330"/>
      <c r="AB57" s="330"/>
      <c r="AC57" s="330"/>
      <c r="AD57" s="330"/>
      <c r="AE57" s="330"/>
      <c r="AF57" s="10" t="s">
        <v>785</v>
      </c>
      <c r="AG57" s="10" t="s">
        <v>473</v>
      </c>
      <c r="AH57" s="10" t="s">
        <v>473</v>
      </c>
      <c r="AI57" s="10"/>
      <c r="AJ57" s="10" t="s">
        <v>517</v>
      </c>
      <c r="AK57" s="45" t="s">
        <v>730</v>
      </c>
    </row>
    <row r="58" spans="2:37" x14ac:dyDescent="0.3">
      <c r="B58" s="506"/>
      <c r="C58" s="506"/>
      <c r="D58" s="506"/>
      <c r="E58" s="506"/>
      <c r="F58" s="82"/>
      <c r="G58" s="82"/>
      <c r="H58" s="511"/>
      <c r="I58" s="330"/>
      <c r="J58" s="524"/>
      <c r="K58" s="10" t="s">
        <v>659</v>
      </c>
      <c r="L58" s="10" t="s">
        <v>753</v>
      </c>
      <c r="M58" s="390"/>
      <c r="N58" s="10" t="s">
        <v>76</v>
      </c>
      <c r="O58" s="10" t="s">
        <v>93</v>
      </c>
      <c r="P58" s="524"/>
      <c r="Q58" s="313"/>
      <c r="R58" s="524"/>
      <c r="S58" s="313"/>
      <c r="T58" s="524"/>
      <c r="U58" s="524"/>
      <c r="V58" s="330"/>
      <c r="W58" s="454"/>
      <c r="X58" s="330"/>
      <c r="Y58" s="330"/>
      <c r="Z58" s="330"/>
      <c r="AA58" s="330"/>
      <c r="AB58" s="330"/>
      <c r="AC58" s="330"/>
      <c r="AD58" s="330"/>
      <c r="AE58" s="330"/>
      <c r="AF58" s="10" t="s">
        <v>786</v>
      </c>
      <c r="AG58" s="10" t="s">
        <v>473</v>
      </c>
      <c r="AH58" s="10" t="s">
        <v>473</v>
      </c>
      <c r="AI58" s="10"/>
      <c r="AJ58" s="10" t="s">
        <v>235</v>
      </c>
      <c r="AK58" s="45" t="s">
        <v>732</v>
      </c>
    </row>
    <row r="59" spans="2:37" x14ac:dyDescent="0.3">
      <c r="B59" s="506"/>
      <c r="C59" s="506"/>
      <c r="D59" s="506"/>
      <c r="E59" s="506"/>
      <c r="F59" s="82"/>
      <c r="G59" s="82"/>
      <c r="H59" s="511"/>
      <c r="I59" s="330"/>
      <c r="J59" s="524"/>
      <c r="K59" s="10" t="s">
        <v>660</v>
      </c>
      <c r="L59" s="10" t="s">
        <v>754</v>
      </c>
      <c r="M59" s="390"/>
      <c r="N59" s="10" t="s">
        <v>76</v>
      </c>
      <c r="O59" s="10" t="s">
        <v>93</v>
      </c>
      <c r="P59" s="524"/>
      <c r="Q59" s="313"/>
      <c r="R59" s="524"/>
      <c r="S59" s="313"/>
      <c r="T59" s="524"/>
      <c r="U59" s="524"/>
      <c r="V59" s="330"/>
      <c r="W59" s="454"/>
      <c r="X59" s="330"/>
      <c r="Y59" s="330"/>
      <c r="Z59" s="330"/>
      <c r="AA59" s="330"/>
      <c r="AB59" s="330"/>
      <c r="AC59" s="330"/>
      <c r="AD59" s="330"/>
      <c r="AE59" s="330"/>
      <c r="AF59" s="10" t="s">
        <v>787</v>
      </c>
      <c r="AG59" s="10" t="s">
        <v>473</v>
      </c>
      <c r="AH59" s="10" t="s">
        <v>473</v>
      </c>
      <c r="AI59" s="10"/>
      <c r="AJ59" s="10" t="s">
        <v>525</v>
      </c>
      <c r="AK59" s="45" t="s">
        <v>730</v>
      </c>
    </row>
    <row r="60" spans="2:37" x14ac:dyDescent="0.3">
      <c r="B60" s="506"/>
      <c r="C60" s="506"/>
      <c r="D60" s="506"/>
      <c r="E60" s="506"/>
      <c r="F60" s="82"/>
      <c r="G60" s="82"/>
      <c r="H60" s="511"/>
      <c r="I60" s="330"/>
      <c r="J60" s="524"/>
      <c r="K60" s="10" t="s">
        <v>661</v>
      </c>
      <c r="L60" s="10" t="s">
        <v>755</v>
      </c>
      <c r="M60" s="390"/>
      <c r="N60" s="10" t="s">
        <v>393</v>
      </c>
      <c r="O60" s="10" t="s">
        <v>93</v>
      </c>
      <c r="P60" s="524"/>
      <c r="Q60" s="313"/>
      <c r="R60" s="524"/>
      <c r="S60" s="313"/>
      <c r="T60" s="524"/>
      <c r="U60" s="524"/>
      <c r="V60" s="330"/>
      <c r="W60" s="454"/>
      <c r="X60" s="330"/>
      <c r="Y60" s="330"/>
      <c r="Z60" s="330"/>
      <c r="AA60" s="330"/>
      <c r="AB60" s="330"/>
      <c r="AC60" s="330"/>
      <c r="AD60" s="330"/>
      <c r="AE60" s="330"/>
      <c r="AF60" s="10" t="s">
        <v>788</v>
      </c>
      <c r="AG60" s="10" t="s">
        <v>473</v>
      </c>
      <c r="AH60" s="10" t="s">
        <v>473</v>
      </c>
      <c r="AI60" s="10"/>
      <c r="AJ60" s="10" t="s">
        <v>240</v>
      </c>
      <c r="AK60" s="45" t="s">
        <v>735</v>
      </c>
    </row>
    <row r="61" spans="2:37" x14ac:dyDescent="0.3">
      <c r="B61" s="506"/>
      <c r="C61" s="506"/>
      <c r="D61" s="506"/>
      <c r="E61" s="506"/>
      <c r="F61" s="82"/>
      <c r="G61" s="82"/>
      <c r="H61" s="511"/>
      <c r="I61" s="330"/>
      <c r="J61" s="524"/>
      <c r="K61" s="10" t="s">
        <v>663</v>
      </c>
      <c r="L61" s="10" t="s">
        <v>756</v>
      </c>
      <c r="M61" s="390"/>
      <c r="N61" s="10" t="s">
        <v>76</v>
      </c>
      <c r="O61" s="10" t="s">
        <v>93</v>
      </c>
      <c r="P61" s="524"/>
      <c r="Q61" s="313"/>
      <c r="R61" s="524"/>
      <c r="S61" s="313"/>
      <c r="T61" s="524"/>
      <c r="U61" s="524"/>
      <c r="V61" s="330"/>
      <c r="W61" s="454"/>
      <c r="X61" s="330"/>
      <c r="Y61" s="330"/>
      <c r="Z61" s="330"/>
      <c r="AA61" s="330"/>
      <c r="AB61" s="330"/>
      <c r="AC61" s="330"/>
      <c r="AD61" s="330"/>
      <c r="AE61" s="330"/>
      <c r="AF61" s="10" t="s">
        <v>789</v>
      </c>
      <c r="AG61" s="10" t="s">
        <v>473</v>
      </c>
      <c r="AH61" s="10" t="s">
        <v>473</v>
      </c>
      <c r="AI61" s="10"/>
      <c r="AJ61" s="10" t="s">
        <v>737</v>
      </c>
      <c r="AK61" s="45" t="s">
        <v>737</v>
      </c>
    </row>
    <row r="62" spans="2:37" x14ac:dyDescent="0.3">
      <c r="B62" s="506"/>
      <c r="C62" s="506"/>
      <c r="D62" s="506"/>
      <c r="E62" s="506"/>
      <c r="F62" s="82"/>
      <c r="G62" s="82"/>
      <c r="H62" s="511"/>
      <c r="I62" s="330"/>
      <c r="J62" s="524"/>
      <c r="K62" s="10" t="s">
        <v>113</v>
      </c>
      <c r="L62" s="10" t="s">
        <v>757</v>
      </c>
      <c r="M62" s="390"/>
      <c r="N62" s="10" t="s">
        <v>76</v>
      </c>
      <c r="O62" s="10" t="s">
        <v>93</v>
      </c>
      <c r="P62" s="524"/>
      <c r="Q62" s="313"/>
      <c r="R62" s="524"/>
      <c r="S62" s="313"/>
      <c r="T62" s="524"/>
      <c r="U62" s="524"/>
      <c r="V62" s="330"/>
      <c r="W62" s="454"/>
      <c r="X62" s="330"/>
      <c r="Y62" s="330"/>
      <c r="Z62" s="330"/>
      <c r="AA62" s="330"/>
      <c r="AB62" s="330"/>
      <c r="AC62" s="330"/>
      <c r="AD62" s="330"/>
      <c r="AE62" s="330"/>
      <c r="AF62" s="10" t="s">
        <v>790</v>
      </c>
      <c r="AG62" s="10" t="s">
        <v>473</v>
      </c>
      <c r="AH62" s="10" t="s">
        <v>473</v>
      </c>
      <c r="AI62" s="10"/>
      <c r="AJ62" s="10" t="s">
        <v>285</v>
      </c>
      <c r="AK62" s="45" t="s">
        <v>692</v>
      </c>
    </row>
    <row r="63" spans="2:37" x14ac:dyDescent="0.3">
      <c r="B63" s="506"/>
      <c r="C63" s="506"/>
      <c r="D63" s="506"/>
      <c r="E63" s="506"/>
      <c r="F63" s="82"/>
      <c r="G63" s="82"/>
      <c r="H63" s="511"/>
      <c r="I63" s="330"/>
      <c r="J63" s="524"/>
      <c r="K63" s="10" t="s">
        <v>127</v>
      </c>
      <c r="L63" s="10">
        <v>1282</v>
      </c>
      <c r="M63" s="390"/>
      <c r="N63" s="10" t="s">
        <v>76</v>
      </c>
      <c r="O63" s="10">
        <v>50</v>
      </c>
      <c r="P63" s="524"/>
      <c r="Q63" s="313"/>
      <c r="R63" s="524"/>
      <c r="S63" s="313"/>
      <c r="T63" s="524"/>
      <c r="U63" s="524"/>
      <c r="V63" s="330"/>
      <c r="W63" s="454"/>
      <c r="X63" s="330"/>
      <c r="Y63" s="330"/>
      <c r="Z63" s="330"/>
      <c r="AA63" s="330"/>
      <c r="AB63" s="330"/>
      <c r="AC63" s="330"/>
      <c r="AD63" s="330"/>
      <c r="AE63" s="330"/>
      <c r="AF63" s="10"/>
      <c r="AG63" s="10"/>
      <c r="AH63" s="10"/>
      <c r="AI63" s="10"/>
      <c r="AJ63" s="10"/>
      <c r="AK63" s="45"/>
    </row>
    <row r="64" spans="2:37" x14ac:dyDescent="0.3">
      <c r="B64" s="506"/>
      <c r="C64" s="506"/>
      <c r="D64" s="506"/>
      <c r="E64" s="506"/>
      <c r="F64" s="82"/>
      <c r="G64" s="82"/>
      <c r="H64" s="511"/>
      <c r="I64" s="330"/>
      <c r="J64" s="524"/>
      <c r="K64" s="10" t="s">
        <v>132</v>
      </c>
      <c r="L64" s="10">
        <v>1282</v>
      </c>
      <c r="M64" s="390"/>
      <c r="N64" s="10" t="s">
        <v>758</v>
      </c>
      <c r="O64" s="10"/>
      <c r="P64" s="524"/>
      <c r="Q64" s="313"/>
      <c r="R64" s="524"/>
      <c r="S64" s="313"/>
      <c r="T64" s="524"/>
      <c r="U64" s="524"/>
      <c r="V64" s="330"/>
      <c r="W64" s="454"/>
      <c r="X64" s="330"/>
      <c r="Y64" s="330"/>
      <c r="Z64" s="330"/>
      <c r="AA64" s="330"/>
      <c r="AB64" s="330"/>
      <c r="AC64" s="330"/>
      <c r="AD64" s="330"/>
      <c r="AE64" s="330"/>
      <c r="AF64" s="10" t="s">
        <v>791</v>
      </c>
      <c r="AG64" s="10" t="s">
        <v>473</v>
      </c>
      <c r="AH64" s="10" t="s">
        <v>473</v>
      </c>
      <c r="AI64" s="10"/>
      <c r="AJ64" s="10" t="s">
        <v>743</v>
      </c>
      <c r="AK64" s="45" t="s">
        <v>743</v>
      </c>
    </row>
    <row r="65" spans="2:37" x14ac:dyDescent="0.3">
      <c r="B65" s="506"/>
      <c r="C65" s="506"/>
      <c r="D65" s="506"/>
      <c r="E65" s="506"/>
      <c r="F65" s="82"/>
      <c r="G65" s="82"/>
      <c r="H65" s="511"/>
      <c r="I65" s="507"/>
      <c r="J65" s="344"/>
      <c r="K65" s="11" t="s">
        <v>759</v>
      </c>
      <c r="L65" s="83"/>
      <c r="M65" s="391"/>
      <c r="N65" s="83"/>
      <c r="O65" s="83"/>
      <c r="P65" s="344"/>
      <c r="Q65" s="314"/>
      <c r="R65" s="344"/>
      <c r="S65" s="314"/>
      <c r="T65" s="344"/>
      <c r="U65" s="344"/>
      <c r="V65" s="507"/>
      <c r="W65" s="455"/>
      <c r="X65" s="507"/>
      <c r="Y65" s="507"/>
      <c r="Z65" s="507"/>
      <c r="AA65" s="507"/>
      <c r="AB65" s="507"/>
      <c r="AC65" s="507"/>
      <c r="AD65" s="507"/>
      <c r="AE65" s="507"/>
      <c r="AF65" s="84" t="s">
        <v>791</v>
      </c>
      <c r="AG65" s="84" t="s">
        <v>473</v>
      </c>
      <c r="AH65" s="84" t="s">
        <v>473</v>
      </c>
      <c r="AI65" s="84"/>
      <c r="AJ65" s="84" t="s">
        <v>473</v>
      </c>
      <c r="AK65" s="85" t="s">
        <v>473</v>
      </c>
    </row>
    <row r="66" spans="2:37" ht="14.4" customHeight="1" x14ac:dyDescent="0.3">
      <c r="B66" s="506"/>
      <c r="C66" s="506"/>
      <c r="D66" s="506"/>
      <c r="E66" s="506"/>
      <c r="F66" s="537" t="s">
        <v>1067</v>
      </c>
      <c r="G66" s="538"/>
      <c r="H66" s="369"/>
      <c r="I66" s="512"/>
      <c r="J66" s="394" t="s">
        <v>1039</v>
      </c>
      <c r="K66" s="32" t="s">
        <v>37</v>
      </c>
      <c r="L66" s="32" t="s">
        <v>798</v>
      </c>
      <c r="M66" s="385" t="s">
        <v>1069</v>
      </c>
      <c r="N66" s="32" t="s">
        <v>76</v>
      </c>
      <c r="O66" s="32" t="s">
        <v>93</v>
      </c>
      <c r="P66" s="394" t="s">
        <v>1068</v>
      </c>
      <c r="Q66" s="348" t="s">
        <v>845</v>
      </c>
      <c r="R66" s="394" t="s">
        <v>825</v>
      </c>
      <c r="S66" s="348" t="s">
        <v>1000</v>
      </c>
      <c r="T66" s="394" t="s">
        <v>669</v>
      </c>
      <c r="U66" s="394" t="s">
        <v>670</v>
      </c>
      <c r="V66" s="410" t="s">
        <v>993</v>
      </c>
      <c r="W66" s="369" t="s">
        <v>1092</v>
      </c>
      <c r="X66" s="410" t="s">
        <v>668</v>
      </c>
      <c r="Y66" s="410"/>
      <c r="Z66" s="410"/>
      <c r="AA66" s="410"/>
      <c r="AB66" s="410"/>
      <c r="AC66" s="410"/>
      <c r="AD66" s="32" t="s">
        <v>150</v>
      </c>
      <c r="AE66" s="32" t="s">
        <v>150</v>
      </c>
      <c r="AF66" s="410" t="s">
        <v>360</v>
      </c>
      <c r="AG66" s="410"/>
      <c r="AH66" s="410"/>
      <c r="AI66" s="410"/>
      <c r="AJ66" s="410"/>
      <c r="AK66" s="449"/>
    </row>
    <row r="67" spans="2:37" x14ac:dyDescent="0.3">
      <c r="B67" s="506"/>
      <c r="C67" s="506"/>
      <c r="D67" s="506"/>
      <c r="E67" s="506"/>
      <c r="F67" s="539"/>
      <c r="G67" s="540"/>
      <c r="H67" s="513"/>
      <c r="I67" s="514"/>
      <c r="J67" s="394"/>
      <c r="K67" s="32" t="s">
        <v>63</v>
      </c>
      <c r="L67" s="32" t="s">
        <v>799</v>
      </c>
      <c r="M67" s="386"/>
      <c r="N67" s="32" t="s">
        <v>800</v>
      </c>
      <c r="O67" s="32" t="s">
        <v>93</v>
      </c>
      <c r="P67" s="394"/>
      <c r="Q67" s="349"/>
      <c r="R67" s="394"/>
      <c r="S67" s="349"/>
      <c r="T67" s="394"/>
      <c r="U67" s="394"/>
      <c r="V67" s="410"/>
      <c r="W67" s="370"/>
      <c r="X67" s="410"/>
      <c r="Y67" s="410"/>
      <c r="Z67" s="410"/>
      <c r="AA67" s="410"/>
      <c r="AB67" s="410"/>
      <c r="AC67" s="410"/>
      <c r="AD67" s="32" t="s">
        <v>150</v>
      </c>
      <c r="AE67" s="32" t="s">
        <v>150</v>
      </c>
      <c r="AF67" s="410"/>
      <c r="AG67" s="410"/>
      <c r="AH67" s="410"/>
      <c r="AI67" s="410"/>
      <c r="AJ67" s="410"/>
      <c r="AK67" s="449"/>
    </row>
    <row r="68" spans="2:37" x14ac:dyDescent="0.3">
      <c r="B68" s="506"/>
      <c r="C68" s="506"/>
      <c r="D68" s="506"/>
      <c r="E68" s="506"/>
      <c r="F68" s="539"/>
      <c r="G68" s="540"/>
      <c r="H68" s="513"/>
      <c r="I68" s="514"/>
      <c r="J68" s="394"/>
      <c r="K68" s="32" t="s">
        <v>801</v>
      </c>
      <c r="L68" s="32" t="s">
        <v>802</v>
      </c>
      <c r="M68" s="386"/>
      <c r="N68" s="32" t="s">
        <v>76</v>
      </c>
      <c r="O68" s="32" t="s">
        <v>93</v>
      </c>
      <c r="P68" s="394"/>
      <c r="Q68" s="349"/>
      <c r="R68" s="394"/>
      <c r="S68" s="349"/>
      <c r="T68" s="394"/>
      <c r="U68" s="394"/>
      <c r="V68" s="410"/>
      <c r="W68" s="370"/>
      <c r="X68" s="410"/>
      <c r="Y68" s="410"/>
      <c r="Z68" s="410"/>
      <c r="AA68" s="410"/>
      <c r="AB68" s="410"/>
      <c r="AC68" s="410"/>
      <c r="AD68" s="32" t="s">
        <v>150</v>
      </c>
      <c r="AE68" s="32" t="s">
        <v>150</v>
      </c>
      <c r="AF68" s="410"/>
      <c r="AG68" s="410"/>
      <c r="AH68" s="410"/>
      <c r="AI68" s="410"/>
      <c r="AJ68" s="410"/>
      <c r="AK68" s="449"/>
    </row>
    <row r="69" spans="2:37" x14ac:dyDescent="0.3">
      <c r="B69" s="506"/>
      <c r="C69" s="506"/>
      <c r="D69" s="506"/>
      <c r="E69" s="506"/>
      <c r="F69" s="539"/>
      <c r="G69" s="540"/>
      <c r="H69" s="513"/>
      <c r="I69" s="514"/>
      <c r="J69" s="394"/>
      <c r="K69" s="32" t="s">
        <v>39</v>
      </c>
      <c r="L69" s="32" t="s">
        <v>804</v>
      </c>
      <c r="M69" s="386"/>
      <c r="N69" s="32" t="s">
        <v>76</v>
      </c>
      <c r="O69" s="32" t="s">
        <v>803</v>
      </c>
      <c r="P69" s="394"/>
      <c r="Q69" s="349"/>
      <c r="R69" s="394"/>
      <c r="S69" s="349"/>
      <c r="T69" s="394"/>
      <c r="U69" s="394"/>
      <c r="V69" s="410"/>
      <c r="W69" s="370"/>
      <c r="X69" s="410"/>
      <c r="Y69" s="410"/>
      <c r="Z69" s="410"/>
      <c r="AA69" s="410"/>
      <c r="AB69" s="410"/>
      <c r="AC69" s="410"/>
      <c r="AD69" s="32" t="s">
        <v>150</v>
      </c>
      <c r="AE69" s="32" t="s">
        <v>150</v>
      </c>
      <c r="AF69" s="410"/>
      <c r="AG69" s="410"/>
      <c r="AH69" s="410"/>
      <c r="AI69" s="410"/>
      <c r="AJ69" s="410"/>
      <c r="AK69" s="449"/>
    </row>
    <row r="70" spans="2:37" x14ac:dyDescent="0.3">
      <c r="B70" s="506"/>
      <c r="C70" s="506"/>
      <c r="D70" s="506"/>
      <c r="E70" s="506"/>
      <c r="F70" s="539"/>
      <c r="G70" s="540"/>
      <c r="H70" s="513"/>
      <c r="I70" s="514"/>
      <c r="J70" s="394"/>
      <c r="K70" s="32" t="s">
        <v>40</v>
      </c>
      <c r="L70" s="32" t="s">
        <v>806</v>
      </c>
      <c r="M70" s="386"/>
      <c r="N70" s="32" t="s">
        <v>76</v>
      </c>
      <c r="O70" s="32" t="s">
        <v>805</v>
      </c>
      <c r="P70" s="394"/>
      <c r="Q70" s="349"/>
      <c r="R70" s="394"/>
      <c r="S70" s="349"/>
      <c r="T70" s="394"/>
      <c r="U70" s="394"/>
      <c r="V70" s="410"/>
      <c r="W70" s="370"/>
      <c r="X70" s="410"/>
      <c r="Y70" s="410"/>
      <c r="Z70" s="410"/>
      <c r="AA70" s="410"/>
      <c r="AB70" s="410"/>
      <c r="AC70" s="410"/>
      <c r="AD70" s="32" t="s">
        <v>150</v>
      </c>
      <c r="AE70" s="32" t="s">
        <v>150</v>
      </c>
      <c r="AF70" s="410"/>
      <c r="AG70" s="410"/>
      <c r="AH70" s="410"/>
      <c r="AI70" s="410"/>
      <c r="AJ70" s="410"/>
      <c r="AK70" s="449"/>
    </row>
    <row r="71" spans="2:37" x14ac:dyDescent="0.3">
      <c r="B71" s="506"/>
      <c r="C71" s="506"/>
      <c r="D71" s="506"/>
      <c r="E71" s="506"/>
      <c r="F71" s="539"/>
      <c r="G71" s="540"/>
      <c r="H71" s="513"/>
      <c r="I71" s="514"/>
      <c r="J71" s="394"/>
      <c r="K71" s="32" t="s">
        <v>42</v>
      </c>
      <c r="L71" s="32" t="s">
        <v>807</v>
      </c>
      <c r="M71" s="386"/>
      <c r="N71" s="32" t="s">
        <v>76</v>
      </c>
      <c r="O71" s="32" t="s">
        <v>805</v>
      </c>
      <c r="P71" s="394"/>
      <c r="Q71" s="349"/>
      <c r="R71" s="394"/>
      <c r="S71" s="349"/>
      <c r="T71" s="394"/>
      <c r="U71" s="394"/>
      <c r="V71" s="410"/>
      <c r="W71" s="370"/>
      <c r="X71" s="410"/>
      <c r="Y71" s="410"/>
      <c r="Z71" s="410"/>
      <c r="AA71" s="410"/>
      <c r="AB71" s="410"/>
      <c r="AC71" s="410"/>
      <c r="AD71" s="32" t="s">
        <v>150</v>
      </c>
      <c r="AE71" s="32" t="s">
        <v>150</v>
      </c>
      <c r="AF71" s="410"/>
      <c r="AG71" s="410"/>
      <c r="AH71" s="410"/>
      <c r="AI71" s="410"/>
      <c r="AJ71" s="410"/>
      <c r="AK71" s="449"/>
    </row>
    <row r="72" spans="2:37" x14ac:dyDescent="0.3">
      <c r="B72" s="506"/>
      <c r="C72" s="506"/>
      <c r="D72" s="506"/>
      <c r="E72" s="506"/>
      <c r="F72" s="539"/>
      <c r="G72" s="540"/>
      <c r="H72" s="513"/>
      <c r="I72" s="514"/>
      <c r="J72" s="394"/>
      <c r="K72" s="32" t="s">
        <v>43</v>
      </c>
      <c r="L72" s="32" t="s">
        <v>808</v>
      </c>
      <c r="M72" s="386"/>
      <c r="N72" s="32" t="s">
        <v>76</v>
      </c>
      <c r="O72" s="32" t="s">
        <v>805</v>
      </c>
      <c r="P72" s="394"/>
      <c r="Q72" s="349"/>
      <c r="R72" s="394"/>
      <c r="S72" s="349"/>
      <c r="T72" s="394"/>
      <c r="U72" s="394"/>
      <c r="V72" s="410"/>
      <c r="W72" s="370"/>
      <c r="X72" s="410"/>
      <c r="Y72" s="410"/>
      <c r="Z72" s="410"/>
      <c r="AA72" s="410"/>
      <c r="AB72" s="410"/>
      <c r="AC72" s="410"/>
      <c r="AD72" s="32" t="s">
        <v>150</v>
      </c>
      <c r="AE72" s="32" t="s">
        <v>150</v>
      </c>
      <c r="AF72" s="410"/>
      <c r="AG72" s="410"/>
      <c r="AH72" s="410"/>
      <c r="AI72" s="410"/>
      <c r="AJ72" s="410"/>
      <c r="AK72" s="449"/>
    </row>
    <row r="73" spans="2:37" x14ac:dyDescent="0.3">
      <c r="B73" s="506"/>
      <c r="C73" s="506"/>
      <c r="D73" s="506"/>
      <c r="E73" s="506"/>
      <c r="F73" s="539"/>
      <c r="G73" s="540"/>
      <c r="H73" s="513"/>
      <c r="I73" s="514"/>
      <c r="J73" s="394"/>
      <c r="K73" s="32" t="s">
        <v>809</v>
      </c>
      <c r="L73" s="32">
        <v>1684</v>
      </c>
      <c r="M73" s="386"/>
      <c r="N73" s="32"/>
      <c r="O73" s="32">
        <v>350</v>
      </c>
      <c r="P73" s="394"/>
      <c r="Q73" s="349"/>
      <c r="R73" s="394"/>
      <c r="S73" s="349"/>
      <c r="T73" s="394"/>
      <c r="U73" s="394"/>
      <c r="V73" s="410"/>
      <c r="W73" s="370"/>
      <c r="X73" s="410"/>
      <c r="Y73" s="410"/>
      <c r="Z73" s="410"/>
      <c r="AA73" s="410"/>
      <c r="AB73" s="410"/>
      <c r="AC73" s="410"/>
      <c r="AD73" s="32" t="s">
        <v>150</v>
      </c>
      <c r="AE73" s="32" t="s">
        <v>150</v>
      </c>
      <c r="AF73" s="410"/>
      <c r="AG73" s="410"/>
      <c r="AH73" s="410"/>
      <c r="AI73" s="410"/>
      <c r="AJ73" s="410"/>
      <c r="AK73" s="449"/>
    </row>
    <row r="74" spans="2:37" x14ac:dyDescent="0.3">
      <c r="B74" s="506"/>
      <c r="C74" s="506"/>
      <c r="D74" s="506"/>
      <c r="E74" s="506"/>
      <c r="F74" s="539"/>
      <c r="G74" s="540"/>
      <c r="H74" s="513"/>
      <c r="I74" s="514"/>
      <c r="J74" s="394"/>
      <c r="K74" s="32" t="s">
        <v>810</v>
      </c>
      <c r="L74" s="32">
        <v>1684</v>
      </c>
      <c r="M74" s="386"/>
      <c r="N74" s="32" t="s">
        <v>811</v>
      </c>
      <c r="O74" s="32">
        <v>350</v>
      </c>
      <c r="P74" s="394"/>
      <c r="Q74" s="349"/>
      <c r="R74" s="394"/>
      <c r="S74" s="349"/>
      <c r="T74" s="394"/>
      <c r="U74" s="394"/>
      <c r="V74" s="410"/>
      <c r="W74" s="370"/>
      <c r="X74" s="410"/>
      <c r="Y74" s="410"/>
      <c r="Z74" s="410"/>
      <c r="AA74" s="410"/>
      <c r="AB74" s="410"/>
      <c r="AC74" s="410"/>
      <c r="AD74" s="32" t="s">
        <v>150</v>
      </c>
      <c r="AE74" s="186">
        <v>9.6799999999999995E-5</v>
      </c>
      <c r="AF74" s="410"/>
      <c r="AG74" s="410"/>
      <c r="AH74" s="410"/>
      <c r="AI74" s="410"/>
      <c r="AJ74" s="410"/>
      <c r="AK74" s="449"/>
    </row>
    <row r="75" spans="2:37" x14ac:dyDescent="0.3">
      <c r="B75" s="506"/>
      <c r="C75" s="506"/>
      <c r="D75" s="506"/>
      <c r="E75" s="506"/>
      <c r="F75" s="539"/>
      <c r="G75" s="540"/>
      <c r="H75" s="513"/>
      <c r="I75" s="514"/>
      <c r="J75" s="394"/>
      <c r="K75" s="32" t="s">
        <v>28</v>
      </c>
      <c r="L75" s="32">
        <v>551</v>
      </c>
      <c r="M75" s="386"/>
      <c r="N75" s="32" t="s">
        <v>76</v>
      </c>
      <c r="O75" s="32">
        <v>380</v>
      </c>
      <c r="P75" s="394"/>
      <c r="Q75" s="349"/>
      <c r="R75" s="394"/>
      <c r="S75" s="349"/>
      <c r="T75" s="394"/>
      <c r="U75" s="394"/>
      <c r="V75" s="410"/>
      <c r="W75" s="370"/>
      <c r="X75" s="410"/>
      <c r="Y75" s="410"/>
      <c r="Z75" s="410"/>
      <c r="AA75" s="410"/>
      <c r="AB75" s="410"/>
      <c r="AC75" s="410"/>
      <c r="AD75" s="32" t="s">
        <v>150</v>
      </c>
      <c r="AE75" s="32" t="s">
        <v>150</v>
      </c>
      <c r="AF75" s="410"/>
      <c r="AG75" s="410"/>
      <c r="AH75" s="410"/>
      <c r="AI75" s="410"/>
      <c r="AJ75" s="410"/>
      <c r="AK75" s="449"/>
    </row>
    <row r="76" spans="2:37" x14ac:dyDescent="0.3">
      <c r="B76" s="506"/>
      <c r="C76" s="506"/>
      <c r="D76" s="506"/>
      <c r="E76" s="506"/>
      <c r="F76" s="539"/>
      <c r="G76" s="540"/>
      <c r="H76" s="513"/>
      <c r="I76" s="514"/>
      <c r="J76" s="394"/>
      <c r="K76" s="32" t="s">
        <v>812</v>
      </c>
      <c r="L76" s="32" t="s">
        <v>813</v>
      </c>
      <c r="M76" s="386"/>
      <c r="N76" s="32" t="s">
        <v>76</v>
      </c>
      <c r="O76" s="32">
        <v>9</v>
      </c>
      <c r="P76" s="394"/>
      <c r="Q76" s="349"/>
      <c r="R76" s="394"/>
      <c r="S76" s="349"/>
      <c r="T76" s="394"/>
      <c r="U76" s="394"/>
      <c r="V76" s="410"/>
      <c r="W76" s="370"/>
      <c r="X76" s="410"/>
      <c r="Y76" s="410"/>
      <c r="Z76" s="410"/>
      <c r="AA76" s="410"/>
      <c r="AB76" s="410"/>
      <c r="AC76" s="410"/>
      <c r="AD76" s="32" t="s">
        <v>150</v>
      </c>
      <c r="AE76" s="32" t="s">
        <v>150</v>
      </c>
      <c r="AF76" s="410"/>
      <c r="AG76" s="410"/>
      <c r="AH76" s="410"/>
      <c r="AI76" s="410"/>
      <c r="AJ76" s="410"/>
      <c r="AK76" s="449"/>
    </row>
    <row r="77" spans="2:37" x14ac:dyDescent="0.3">
      <c r="B77" s="506"/>
      <c r="C77" s="506"/>
      <c r="D77" s="506"/>
      <c r="E77" s="506"/>
      <c r="F77" s="539"/>
      <c r="G77" s="540"/>
      <c r="H77" s="513"/>
      <c r="I77" s="514"/>
      <c r="J77" s="394"/>
      <c r="K77" s="32" t="s">
        <v>814</v>
      </c>
      <c r="L77" s="32" t="s">
        <v>815</v>
      </c>
      <c r="M77" s="386"/>
      <c r="N77" s="32" t="s">
        <v>76</v>
      </c>
      <c r="O77" s="32">
        <v>50</v>
      </c>
      <c r="P77" s="394"/>
      <c r="Q77" s="349"/>
      <c r="R77" s="394"/>
      <c r="S77" s="349"/>
      <c r="T77" s="394"/>
      <c r="U77" s="394"/>
      <c r="V77" s="410"/>
      <c r="W77" s="370"/>
      <c r="X77" s="410"/>
      <c r="Y77" s="410"/>
      <c r="Z77" s="410"/>
      <c r="AA77" s="410"/>
      <c r="AB77" s="410"/>
      <c r="AC77" s="410"/>
      <c r="AD77" s="32" t="s">
        <v>150</v>
      </c>
      <c r="AE77" s="186"/>
      <c r="AF77" s="410"/>
      <c r="AG77" s="410"/>
      <c r="AH77" s="410"/>
      <c r="AI77" s="410"/>
      <c r="AJ77" s="410"/>
      <c r="AK77" s="449"/>
    </row>
    <row r="78" spans="2:37" x14ac:dyDescent="0.3">
      <c r="B78" s="506"/>
      <c r="C78" s="506"/>
      <c r="D78" s="506"/>
      <c r="E78" s="506"/>
      <c r="F78" s="539"/>
      <c r="G78" s="540"/>
      <c r="H78" s="513"/>
      <c r="I78" s="514"/>
      <c r="J78" s="394"/>
      <c r="K78" s="32" t="s">
        <v>816</v>
      </c>
      <c r="L78" s="32">
        <v>10100</v>
      </c>
      <c r="M78" s="386"/>
      <c r="N78" s="32" t="s">
        <v>76</v>
      </c>
      <c r="O78" s="32">
        <v>3106</v>
      </c>
      <c r="P78" s="394"/>
      <c r="Q78" s="349"/>
      <c r="R78" s="394"/>
      <c r="S78" s="349"/>
      <c r="T78" s="394"/>
      <c r="U78" s="394"/>
      <c r="V78" s="410"/>
      <c r="W78" s="370"/>
      <c r="X78" s="410"/>
      <c r="Y78" s="410"/>
      <c r="Z78" s="410"/>
      <c r="AA78" s="410"/>
      <c r="AB78" s="410"/>
      <c r="AC78" s="410"/>
      <c r="AD78" s="32" t="s">
        <v>150</v>
      </c>
      <c r="AE78" s="32" t="s">
        <v>150</v>
      </c>
      <c r="AF78" s="410"/>
      <c r="AG78" s="410"/>
      <c r="AH78" s="410"/>
      <c r="AI78" s="410"/>
      <c r="AJ78" s="410"/>
      <c r="AK78" s="449"/>
    </row>
    <row r="79" spans="2:37" x14ac:dyDescent="0.3">
      <c r="B79" s="506"/>
      <c r="C79" s="506"/>
      <c r="D79" s="506"/>
      <c r="E79" s="506"/>
      <c r="F79" s="539"/>
      <c r="G79" s="540"/>
      <c r="H79" s="513"/>
      <c r="I79" s="514"/>
      <c r="J79" s="394"/>
      <c r="K79" s="32" t="s">
        <v>817</v>
      </c>
      <c r="L79" s="32">
        <v>2230</v>
      </c>
      <c r="M79" s="386"/>
      <c r="N79" s="32" t="s">
        <v>76</v>
      </c>
      <c r="O79" s="32">
        <v>1104</v>
      </c>
      <c r="P79" s="394"/>
      <c r="Q79" s="349"/>
      <c r="R79" s="394"/>
      <c r="S79" s="349"/>
      <c r="T79" s="394"/>
      <c r="U79" s="394"/>
      <c r="V79" s="410"/>
      <c r="W79" s="370"/>
      <c r="X79" s="410"/>
      <c r="Y79" s="410"/>
      <c r="Z79" s="410"/>
      <c r="AA79" s="410"/>
      <c r="AB79" s="410"/>
      <c r="AC79" s="410"/>
      <c r="AD79" s="32" t="s">
        <v>150</v>
      </c>
      <c r="AE79" s="32" t="s">
        <v>150</v>
      </c>
      <c r="AF79" s="410"/>
      <c r="AG79" s="410"/>
      <c r="AH79" s="410"/>
      <c r="AI79" s="410"/>
      <c r="AJ79" s="410"/>
      <c r="AK79" s="449"/>
    </row>
    <row r="80" spans="2:37" x14ac:dyDescent="0.3">
      <c r="B80" s="506"/>
      <c r="C80" s="506"/>
      <c r="D80" s="506"/>
      <c r="E80" s="506"/>
      <c r="F80" s="539"/>
      <c r="G80" s="540"/>
      <c r="H80" s="513"/>
      <c r="I80" s="514"/>
      <c r="J80" s="394"/>
      <c r="K80" s="32" t="s">
        <v>31</v>
      </c>
      <c r="L80" s="32" t="s">
        <v>818</v>
      </c>
      <c r="M80" s="386"/>
      <c r="N80" s="32" t="s">
        <v>819</v>
      </c>
      <c r="O80" s="32">
        <v>1</v>
      </c>
      <c r="P80" s="394"/>
      <c r="Q80" s="349"/>
      <c r="R80" s="394"/>
      <c r="S80" s="349"/>
      <c r="T80" s="394"/>
      <c r="U80" s="394"/>
      <c r="V80" s="410"/>
      <c r="W80" s="370"/>
      <c r="X80" s="410"/>
      <c r="Y80" s="410"/>
      <c r="Z80" s="410"/>
      <c r="AA80" s="410"/>
      <c r="AB80" s="410"/>
      <c r="AC80" s="410"/>
      <c r="AD80" s="32" t="s">
        <v>150</v>
      </c>
      <c r="AE80" s="186">
        <v>5.4199999999999996E-7</v>
      </c>
      <c r="AF80" s="410"/>
      <c r="AG80" s="410"/>
      <c r="AH80" s="410"/>
      <c r="AI80" s="410"/>
      <c r="AJ80" s="410"/>
      <c r="AK80" s="449"/>
    </row>
    <row r="81" spans="2:37" x14ac:dyDescent="0.3">
      <c r="B81" s="506"/>
      <c r="C81" s="506"/>
      <c r="D81" s="506"/>
      <c r="E81" s="506"/>
      <c r="F81" s="539"/>
      <c r="G81" s="540"/>
      <c r="H81" s="513"/>
      <c r="I81" s="514"/>
      <c r="J81" s="394"/>
      <c r="K81" s="32" t="s">
        <v>32</v>
      </c>
      <c r="L81" s="32" t="s">
        <v>820</v>
      </c>
      <c r="M81" s="386"/>
      <c r="N81" s="32" t="s">
        <v>76</v>
      </c>
      <c r="O81" s="32">
        <v>19</v>
      </c>
      <c r="P81" s="394"/>
      <c r="Q81" s="349"/>
      <c r="R81" s="394"/>
      <c r="S81" s="349"/>
      <c r="T81" s="394"/>
      <c r="U81" s="394"/>
      <c r="V81" s="410"/>
      <c r="W81" s="370"/>
      <c r="X81" s="410"/>
      <c r="Y81" s="410"/>
      <c r="Z81" s="410"/>
      <c r="AA81" s="410"/>
      <c r="AB81" s="410"/>
      <c r="AC81" s="410"/>
      <c r="AD81" s="32" t="s">
        <v>150</v>
      </c>
      <c r="AE81" s="32" t="s">
        <v>150</v>
      </c>
      <c r="AF81" s="410"/>
      <c r="AG81" s="410"/>
      <c r="AH81" s="410"/>
      <c r="AI81" s="410"/>
      <c r="AJ81" s="410"/>
      <c r="AK81" s="449"/>
    </row>
    <row r="82" spans="2:37" x14ac:dyDescent="0.3">
      <c r="B82" s="506"/>
      <c r="C82" s="506"/>
      <c r="D82" s="506"/>
      <c r="E82" s="506"/>
      <c r="F82" s="539"/>
      <c r="G82" s="540"/>
      <c r="H82" s="513"/>
      <c r="I82" s="514"/>
      <c r="J82" s="394"/>
      <c r="K82" s="32" t="s">
        <v>821</v>
      </c>
      <c r="L82" s="32">
        <v>112</v>
      </c>
      <c r="M82" s="386"/>
      <c r="N82" s="32" t="s">
        <v>76</v>
      </c>
      <c r="O82" s="32">
        <v>1</v>
      </c>
      <c r="P82" s="394"/>
      <c r="Q82" s="349"/>
      <c r="R82" s="394"/>
      <c r="S82" s="349"/>
      <c r="T82" s="394"/>
      <c r="U82" s="394"/>
      <c r="V82" s="410"/>
      <c r="W82" s="370"/>
      <c r="X82" s="410"/>
      <c r="Y82" s="410"/>
      <c r="Z82" s="410"/>
      <c r="AA82" s="410"/>
      <c r="AB82" s="410"/>
      <c r="AC82" s="410"/>
      <c r="AD82" s="186">
        <v>2.1399999999999998E-11</v>
      </c>
      <c r="AE82" s="186">
        <v>2.1299999999999999E-7</v>
      </c>
      <c r="AF82" s="410"/>
      <c r="AG82" s="410"/>
      <c r="AH82" s="410"/>
      <c r="AI82" s="410"/>
      <c r="AJ82" s="410"/>
      <c r="AK82" s="449"/>
    </row>
    <row r="83" spans="2:37" x14ac:dyDescent="0.3">
      <c r="B83" s="506"/>
      <c r="C83" s="506"/>
      <c r="D83" s="506"/>
      <c r="E83" s="506"/>
      <c r="F83" s="539"/>
      <c r="G83" s="540"/>
      <c r="H83" s="513"/>
      <c r="I83" s="514"/>
      <c r="J83" s="394"/>
      <c r="K83" s="32" t="s">
        <v>822</v>
      </c>
      <c r="L83" s="32">
        <v>3450</v>
      </c>
      <c r="M83" s="386"/>
      <c r="N83" s="32" t="s">
        <v>76</v>
      </c>
      <c r="O83" s="32">
        <v>1000</v>
      </c>
      <c r="P83" s="394"/>
      <c r="Q83" s="349"/>
      <c r="R83" s="394"/>
      <c r="S83" s="349"/>
      <c r="T83" s="394"/>
      <c r="U83" s="394"/>
      <c r="V83" s="410"/>
      <c r="W83" s="370"/>
      <c r="X83" s="410"/>
      <c r="Y83" s="410"/>
      <c r="Z83" s="410"/>
      <c r="AA83" s="410"/>
      <c r="AB83" s="410"/>
      <c r="AC83" s="410"/>
      <c r="AD83" s="32" t="s">
        <v>150</v>
      </c>
      <c r="AE83" s="32" t="s">
        <v>150</v>
      </c>
      <c r="AF83" s="410"/>
      <c r="AG83" s="410"/>
      <c r="AH83" s="410"/>
      <c r="AI83" s="410"/>
      <c r="AJ83" s="410"/>
      <c r="AK83" s="449"/>
    </row>
    <row r="84" spans="2:37" x14ac:dyDescent="0.3">
      <c r="B84" s="506"/>
      <c r="C84" s="506"/>
      <c r="D84" s="506"/>
      <c r="E84" s="506"/>
      <c r="F84" s="539"/>
      <c r="G84" s="540"/>
      <c r="H84" s="513"/>
      <c r="I84" s="514"/>
      <c r="J84" s="394"/>
      <c r="K84" s="32" t="s">
        <v>823</v>
      </c>
      <c r="L84" s="32" t="s">
        <v>824</v>
      </c>
      <c r="M84" s="386"/>
      <c r="N84" s="32" t="s">
        <v>76</v>
      </c>
      <c r="O84" s="32" t="s">
        <v>805</v>
      </c>
      <c r="P84" s="394"/>
      <c r="Q84" s="349"/>
      <c r="R84" s="394"/>
      <c r="S84" s="349"/>
      <c r="T84" s="394"/>
      <c r="U84" s="394"/>
      <c r="V84" s="410"/>
      <c r="W84" s="370"/>
      <c r="X84" s="410"/>
      <c r="Y84" s="410"/>
      <c r="Z84" s="410"/>
      <c r="AA84" s="410"/>
      <c r="AB84" s="410"/>
      <c r="AC84" s="410"/>
      <c r="AD84" s="32" t="s">
        <v>150</v>
      </c>
      <c r="AE84" s="32" t="s">
        <v>150</v>
      </c>
      <c r="AF84" s="410"/>
      <c r="AG84" s="410"/>
      <c r="AH84" s="410"/>
      <c r="AI84" s="410"/>
      <c r="AJ84" s="410"/>
      <c r="AK84" s="449"/>
    </row>
    <row r="85" spans="2:37" x14ac:dyDescent="0.3">
      <c r="B85" s="506"/>
      <c r="C85" s="506"/>
      <c r="D85" s="506"/>
      <c r="E85" s="506"/>
      <c r="F85" s="541"/>
      <c r="G85" s="542"/>
      <c r="H85" s="515"/>
      <c r="I85" s="516"/>
      <c r="J85" s="394"/>
      <c r="K85" s="33" t="s">
        <v>827</v>
      </c>
      <c r="L85" s="32"/>
      <c r="M85" s="387"/>
      <c r="N85" s="32"/>
      <c r="O85" s="32"/>
      <c r="P85" s="394"/>
      <c r="Q85" s="350"/>
      <c r="R85" s="394"/>
      <c r="S85" s="350"/>
      <c r="T85" s="394"/>
      <c r="U85" s="394"/>
      <c r="V85" s="410"/>
      <c r="W85" s="371"/>
      <c r="X85" s="410"/>
      <c r="Y85" s="410"/>
      <c r="Z85" s="410"/>
      <c r="AA85" s="410"/>
      <c r="AB85" s="410"/>
      <c r="AC85" s="410"/>
      <c r="AD85" s="34" t="s">
        <v>830</v>
      </c>
      <c r="AE85" s="216">
        <v>9.7600000000000001E-5</v>
      </c>
      <c r="AF85" s="410"/>
      <c r="AG85" s="410"/>
      <c r="AH85" s="410"/>
      <c r="AI85" s="410"/>
      <c r="AJ85" s="410"/>
      <c r="AK85" s="449"/>
    </row>
    <row r="86" spans="2:37" ht="14.4" customHeight="1" x14ac:dyDescent="0.3">
      <c r="B86" s="506"/>
      <c r="C86" s="506"/>
      <c r="D86" s="506"/>
      <c r="E86" s="506"/>
      <c r="F86" s="434" t="s">
        <v>899</v>
      </c>
      <c r="G86" s="434" t="s">
        <v>923</v>
      </c>
      <c r="H86" s="517"/>
      <c r="I86" s="518"/>
      <c r="J86" s="351" t="s">
        <v>1039</v>
      </c>
      <c r="K86" s="42" t="s">
        <v>28</v>
      </c>
      <c r="L86" s="42">
        <v>200</v>
      </c>
      <c r="M86" s="440" t="s">
        <v>1077</v>
      </c>
      <c r="N86" s="42" t="s">
        <v>76</v>
      </c>
      <c r="O86" s="42">
        <v>29</v>
      </c>
      <c r="P86" s="372" t="s">
        <v>1078</v>
      </c>
      <c r="Q86" s="372" t="s">
        <v>845</v>
      </c>
      <c r="R86" s="372" t="s">
        <v>1089</v>
      </c>
      <c r="S86" s="351" t="s">
        <v>1000</v>
      </c>
      <c r="T86" s="450" t="s">
        <v>668</v>
      </c>
      <c r="U86" s="450" t="s">
        <v>668</v>
      </c>
      <c r="V86" s="450" t="s">
        <v>993</v>
      </c>
      <c r="W86" s="451" t="s">
        <v>1092</v>
      </c>
      <c r="X86" s="351" t="s">
        <v>922</v>
      </c>
      <c r="Y86" s="351"/>
      <c r="Z86" s="351"/>
      <c r="AA86" s="351"/>
      <c r="AB86" s="351"/>
      <c r="AC86" s="351"/>
      <c r="AD86" s="351"/>
      <c r="AE86" s="351"/>
      <c r="AF86" s="42" t="s">
        <v>921</v>
      </c>
      <c r="AG86" s="42" t="s">
        <v>920</v>
      </c>
      <c r="AH86" s="42" t="s">
        <v>740</v>
      </c>
      <c r="AI86" s="42"/>
      <c r="AJ86" s="42" t="s">
        <v>446</v>
      </c>
      <c r="AK86" s="47" t="s">
        <v>676</v>
      </c>
    </row>
    <row r="87" spans="2:37" x14ac:dyDescent="0.3">
      <c r="B87" s="506"/>
      <c r="C87" s="506"/>
      <c r="D87" s="506"/>
      <c r="E87" s="506"/>
      <c r="F87" s="435"/>
      <c r="G87" s="435"/>
      <c r="H87" s="519"/>
      <c r="I87" s="520"/>
      <c r="J87" s="351"/>
      <c r="K87" s="42" t="s">
        <v>29</v>
      </c>
      <c r="L87" s="42" t="s">
        <v>833</v>
      </c>
      <c r="M87" s="441"/>
      <c r="N87" s="42" t="s">
        <v>76</v>
      </c>
      <c r="O87" s="42">
        <v>2</v>
      </c>
      <c r="P87" s="373"/>
      <c r="Q87" s="373"/>
      <c r="R87" s="373"/>
      <c r="S87" s="351"/>
      <c r="T87" s="450"/>
      <c r="U87" s="450"/>
      <c r="V87" s="450"/>
      <c r="W87" s="452"/>
      <c r="X87" s="351"/>
      <c r="Y87" s="351"/>
      <c r="Z87" s="351"/>
      <c r="AA87" s="351"/>
      <c r="AB87" s="351"/>
      <c r="AC87" s="351"/>
      <c r="AD87" s="351"/>
      <c r="AE87" s="351"/>
      <c r="AF87" s="42" t="s">
        <v>919</v>
      </c>
      <c r="AG87" s="42" t="s">
        <v>918</v>
      </c>
      <c r="AH87" s="42" t="s">
        <v>451</v>
      </c>
      <c r="AI87" s="42"/>
      <c r="AJ87" s="42" t="s">
        <v>186</v>
      </c>
      <c r="AK87" s="47" t="s">
        <v>187</v>
      </c>
    </row>
    <row r="88" spans="2:37" x14ac:dyDescent="0.3">
      <c r="B88" s="506"/>
      <c r="C88" s="506"/>
      <c r="D88" s="506"/>
      <c r="E88" s="506"/>
      <c r="F88" s="435"/>
      <c r="G88" s="435"/>
      <c r="H88" s="519"/>
      <c r="I88" s="520"/>
      <c r="J88" s="351"/>
      <c r="K88" s="42" t="s">
        <v>32</v>
      </c>
      <c r="L88" s="42">
        <v>1260</v>
      </c>
      <c r="M88" s="441"/>
      <c r="N88" s="42" t="s">
        <v>76</v>
      </c>
      <c r="O88" s="42">
        <v>103</v>
      </c>
      <c r="P88" s="373"/>
      <c r="Q88" s="373"/>
      <c r="R88" s="373"/>
      <c r="S88" s="351"/>
      <c r="T88" s="450"/>
      <c r="U88" s="450"/>
      <c r="V88" s="450"/>
      <c r="W88" s="452"/>
      <c r="X88" s="351"/>
      <c r="Y88" s="351"/>
      <c r="Z88" s="351"/>
      <c r="AA88" s="351"/>
      <c r="AB88" s="351"/>
      <c r="AC88" s="351"/>
      <c r="AD88" s="351"/>
      <c r="AE88" s="351"/>
      <c r="AF88" s="42" t="s">
        <v>917</v>
      </c>
      <c r="AG88" s="42" t="s">
        <v>916</v>
      </c>
      <c r="AH88" s="42" t="s">
        <v>314</v>
      </c>
      <c r="AI88" s="42"/>
      <c r="AJ88" s="42" t="s">
        <v>465</v>
      </c>
      <c r="AK88" s="47" t="s">
        <v>700</v>
      </c>
    </row>
    <row r="89" spans="2:37" x14ac:dyDescent="0.3">
      <c r="B89" s="506"/>
      <c r="C89" s="506"/>
      <c r="D89" s="506"/>
      <c r="E89" s="506"/>
      <c r="F89" s="435"/>
      <c r="G89" s="435"/>
      <c r="H89" s="519"/>
      <c r="I89" s="520"/>
      <c r="J89" s="351"/>
      <c r="K89" s="42" t="s">
        <v>33</v>
      </c>
      <c r="L89" s="42">
        <v>149</v>
      </c>
      <c r="M89" s="441"/>
      <c r="N89" s="42" t="s">
        <v>76</v>
      </c>
      <c r="O89" s="42">
        <v>120</v>
      </c>
      <c r="P89" s="373"/>
      <c r="Q89" s="373"/>
      <c r="R89" s="373"/>
      <c r="S89" s="351"/>
      <c r="T89" s="450"/>
      <c r="U89" s="450"/>
      <c r="V89" s="450"/>
      <c r="W89" s="452"/>
      <c r="X89" s="351"/>
      <c r="Y89" s="351"/>
      <c r="Z89" s="351"/>
      <c r="AA89" s="351"/>
      <c r="AB89" s="351"/>
      <c r="AC89" s="351"/>
      <c r="AD89" s="351"/>
      <c r="AE89" s="351"/>
      <c r="AF89" s="42" t="s">
        <v>915</v>
      </c>
      <c r="AG89" s="42" t="s">
        <v>900</v>
      </c>
      <c r="AH89" s="42" t="s">
        <v>914</v>
      </c>
      <c r="AI89" s="42"/>
      <c r="AJ89" s="42" t="s">
        <v>470</v>
      </c>
      <c r="AK89" s="47" t="s">
        <v>704</v>
      </c>
    </row>
    <row r="90" spans="2:37" x14ac:dyDescent="0.3">
      <c r="B90" s="506"/>
      <c r="C90" s="506"/>
      <c r="D90" s="506"/>
      <c r="E90" s="506"/>
      <c r="F90" s="435"/>
      <c r="G90" s="435"/>
      <c r="H90" s="519"/>
      <c r="I90" s="520"/>
      <c r="J90" s="351"/>
      <c r="K90" s="42" t="s">
        <v>34</v>
      </c>
      <c r="L90" s="42">
        <v>221</v>
      </c>
      <c r="M90" s="441"/>
      <c r="N90" s="42" t="s">
        <v>76</v>
      </c>
      <c r="O90" s="42">
        <v>100</v>
      </c>
      <c r="P90" s="373"/>
      <c r="Q90" s="373"/>
      <c r="R90" s="373"/>
      <c r="S90" s="351"/>
      <c r="T90" s="450"/>
      <c r="U90" s="450"/>
      <c r="V90" s="450"/>
      <c r="W90" s="452"/>
      <c r="X90" s="351"/>
      <c r="Y90" s="351"/>
      <c r="Z90" s="351"/>
      <c r="AA90" s="351"/>
      <c r="AB90" s="351"/>
      <c r="AC90" s="351"/>
      <c r="AD90" s="351"/>
      <c r="AE90" s="351"/>
      <c r="AF90" s="42" t="s">
        <v>913</v>
      </c>
      <c r="AG90" s="42" t="s">
        <v>912</v>
      </c>
      <c r="AH90" s="42" t="s">
        <v>911</v>
      </c>
      <c r="AI90" s="42"/>
      <c r="AJ90" s="42" t="s">
        <v>480</v>
      </c>
      <c r="AK90" s="47" t="s">
        <v>714</v>
      </c>
    </row>
    <row r="91" spans="2:37" x14ac:dyDescent="0.3">
      <c r="B91" s="506"/>
      <c r="C91" s="506"/>
      <c r="D91" s="506"/>
      <c r="E91" s="506"/>
      <c r="F91" s="435"/>
      <c r="G91" s="435"/>
      <c r="H91" s="519"/>
      <c r="I91" s="520"/>
      <c r="J91" s="351"/>
      <c r="K91" s="42" t="s">
        <v>35</v>
      </c>
      <c r="L91" s="42">
        <v>2470</v>
      </c>
      <c r="M91" s="441"/>
      <c r="N91" s="42" t="s">
        <v>76</v>
      </c>
      <c r="O91" s="42">
        <v>158</v>
      </c>
      <c r="P91" s="373"/>
      <c r="Q91" s="373"/>
      <c r="R91" s="373"/>
      <c r="S91" s="351"/>
      <c r="T91" s="450"/>
      <c r="U91" s="450"/>
      <c r="V91" s="450"/>
      <c r="W91" s="452"/>
      <c r="X91" s="351"/>
      <c r="Y91" s="351"/>
      <c r="Z91" s="351"/>
      <c r="AA91" s="351"/>
      <c r="AB91" s="351"/>
      <c r="AC91" s="351"/>
      <c r="AD91" s="351"/>
      <c r="AE91" s="351"/>
      <c r="AF91" s="42" t="s">
        <v>212</v>
      </c>
      <c r="AG91" s="42" t="s">
        <v>356</v>
      </c>
      <c r="AH91" s="42" t="s">
        <v>910</v>
      </c>
      <c r="AI91" s="42"/>
      <c r="AJ91" s="42" t="s">
        <v>207</v>
      </c>
      <c r="AK91" s="47" t="s">
        <v>718</v>
      </c>
    </row>
    <row r="92" spans="2:37" x14ac:dyDescent="0.3">
      <c r="B92" s="506"/>
      <c r="C92" s="506"/>
      <c r="D92" s="506"/>
      <c r="E92" s="506"/>
      <c r="F92" s="435"/>
      <c r="G92" s="435"/>
      <c r="H92" s="519"/>
      <c r="I92" s="520"/>
      <c r="J92" s="351"/>
      <c r="K92" s="42" t="s">
        <v>37</v>
      </c>
      <c r="L92" s="42" t="s">
        <v>834</v>
      </c>
      <c r="M92" s="441"/>
      <c r="N92" s="42" t="s">
        <v>76</v>
      </c>
      <c r="O92" s="42" t="s">
        <v>90</v>
      </c>
      <c r="P92" s="373"/>
      <c r="Q92" s="373"/>
      <c r="R92" s="373"/>
      <c r="S92" s="351"/>
      <c r="T92" s="450"/>
      <c r="U92" s="450"/>
      <c r="V92" s="450"/>
      <c r="W92" s="452"/>
      <c r="X92" s="351"/>
      <c r="Y92" s="351"/>
      <c r="Z92" s="351"/>
      <c r="AA92" s="351"/>
      <c r="AB92" s="351"/>
      <c r="AC92" s="351"/>
      <c r="AD92" s="351"/>
      <c r="AE92" s="351"/>
      <c r="AF92" s="42" t="s">
        <v>909</v>
      </c>
      <c r="AG92" s="42" t="s">
        <v>473</v>
      </c>
      <c r="AH92" s="42" t="s">
        <v>473</v>
      </c>
      <c r="AI92" s="42"/>
      <c r="AJ92" s="42" t="s">
        <v>214</v>
      </c>
      <c r="AK92" s="47" t="s">
        <v>720</v>
      </c>
    </row>
    <row r="93" spans="2:37" x14ac:dyDescent="0.3">
      <c r="B93" s="506"/>
      <c r="C93" s="506"/>
      <c r="D93" s="506"/>
      <c r="E93" s="506"/>
      <c r="F93" s="435"/>
      <c r="G93" s="435"/>
      <c r="H93" s="519"/>
      <c r="I93" s="520"/>
      <c r="J93" s="351"/>
      <c r="K93" s="42" t="s">
        <v>40</v>
      </c>
      <c r="L93" s="42" t="s">
        <v>749</v>
      </c>
      <c r="M93" s="441"/>
      <c r="N93" s="42" t="s">
        <v>76</v>
      </c>
      <c r="O93" s="42" t="s">
        <v>93</v>
      </c>
      <c r="P93" s="373"/>
      <c r="Q93" s="373"/>
      <c r="R93" s="373"/>
      <c r="S93" s="351"/>
      <c r="T93" s="450"/>
      <c r="U93" s="450"/>
      <c r="V93" s="450"/>
      <c r="W93" s="452"/>
      <c r="X93" s="351"/>
      <c r="Y93" s="351"/>
      <c r="Z93" s="351"/>
      <c r="AA93" s="351"/>
      <c r="AB93" s="351"/>
      <c r="AC93" s="351"/>
      <c r="AD93" s="351"/>
      <c r="AE93" s="351"/>
      <c r="AF93" s="42" t="s">
        <v>908</v>
      </c>
      <c r="AG93" s="42" t="s">
        <v>473</v>
      </c>
      <c r="AH93" s="42" t="s">
        <v>473</v>
      </c>
      <c r="AI93" s="42"/>
      <c r="AJ93" s="42" t="s">
        <v>217</v>
      </c>
      <c r="AK93" s="47" t="s">
        <v>722</v>
      </c>
    </row>
    <row r="94" spans="2:37" x14ac:dyDescent="0.3">
      <c r="B94" s="506"/>
      <c r="C94" s="506"/>
      <c r="D94" s="506"/>
      <c r="E94" s="506"/>
      <c r="F94" s="435"/>
      <c r="G94" s="435"/>
      <c r="H94" s="519"/>
      <c r="I94" s="520"/>
      <c r="J94" s="351"/>
      <c r="K94" s="42" t="s">
        <v>63</v>
      </c>
      <c r="L94" s="42" t="s">
        <v>835</v>
      </c>
      <c r="M94" s="441"/>
      <c r="N94" s="42" t="s">
        <v>76</v>
      </c>
      <c r="O94" s="42" t="s">
        <v>90</v>
      </c>
      <c r="P94" s="373"/>
      <c r="Q94" s="373"/>
      <c r="R94" s="373"/>
      <c r="S94" s="351"/>
      <c r="T94" s="450"/>
      <c r="U94" s="450"/>
      <c r="V94" s="450"/>
      <c r="W94" s="452"/>
      <c r="X94" s="351"/>
      <c r="Y94" s="351"/>
      <c r="Z94" s="351"/>
      <c r="AA94" s="351"/>
      <c r="AB94" s="351"/>
      <c r="AC94" s="351"/>
      <c r="AD94" s="351"/>
      <c r="AE94" s="351"/>
      <c r="AF94" s="42" t="s">
        <v>274</v>
      </c>
      <c r="AG94" s="42" t="s">
        <v>473</v>
      </c>
      <c r="AH94" s="42" t="s">
        <v>473</v>
      </c>
      <c r="AI94" s="42"/>
      <c r="AJ94" s="42" t="s">
        <v>221</v>
      </c>
      <c r="AK94" s="47" t="s">
        <v>724</v>
      </c>
    </row>
    <row r="95" spans="2:37" x14ac:dyDescent="0.3">
      <c r="B95" s="506"/>
      <c r="C95" s="506"/>
      <c r="D95" s="506"/>
      <c r="E95" s="506"/>
      <c r="F95" s="435"/>
      <c r="G95" s="435"/>
      <c r="H95" s="519"/>
      <c r="I95" s="520"/>
      <c r="J95" s="351"/>
      <c r="K95" s="42" t="s">
        <v>801</v>
      </c>
      <c r="L95" s="42" t="s">
        <v>835</v>
      </c>
      <c r="M95" s="441"/>
      <c r="N95" s="42" t="s">
        <v>76</v>
      </c>
      <c r="O95" s="42" t="s">
        <v>90</v>
      </c>
      <c r="P95" s="374"/>
      <c r="Q95" s="373"/>
      <c r="R95" s="373"/>
      <c r="S95" s="351"/>
      <c r="T95" s="450"/>
      <c r="U95" s="450"/>
      <c r="V95" s="450"/>
      <c r="W95" s="452"/>
      <c r="X95" s="351"/>
      <c r="Y95" s="351"/>
      <c r="Z95" s="351"/>
      <c r="AA95" s="351"/>
      <c r="AB95" s="351"/>
      <c r="AC95" s="351"/>
      <c r="AD95" s="351"/>
      <c r="AE95" s="351"/>
      <c r="AF95" s="42" t="s">
        <v>274</v>
      </c>
      <c r="AG95" s="42" t="s">
        <v>473</v>
      </c>
      <c r="AH95" s="42" t="s">
        <v>473</v>
      </c>
      <c r="AI95" s="42"/>
      <c r="AJ95" s="42" t="s">
        <v>501</v>
      </c>
      <c r="AK95" s="47" t="s">
        <v>907</v>
      </c>
    </row>
    <row r="96" spans="2:37" ht="14.4" customHeight="1" x14ac:dyDescent="0.3">
      <c r="B96" s="506"/>
      <c r="C96" s="506"/>
      <c r="D96" s="506"/>
      <c r="E96" s="506"/>
      <c r="F96" s="435"/>
      <c r="G96" s="435"/>
      <c r="H96" s="519"/>
      <c r="I96" s="520"/>
      <c r="J96" s="351"/>
      <c r="K96" s="42" t="s">
        <v>39</v>
      </c>
      <c r="L96" s="42" t="s">
        <v>836</v>
      </c>
      <c r="M96" s="441"/>
      <c r="N96" s="42" t="s">
        <v>76</v>
      </c>
      <c r="O96" s="42" t="s">
        <v>90</v>
      </c>
      <c r="P96" s="372" t="s">
        <v>1034</v>
      </c>
      <c r="Q96" s="373"/>
      <c r="R96" s="373"/>
      <c r="S96" s="351" t="s">
        <v>999</v>
      </c>
      <c r="T96" s="450"/>
      <c r="U96" s="450"/>
      <c r="V96" s="450"/>
      <c r="W96" s="452"/>
      <c r="X96" s="351"/>
      <c r="Y96" s="351"/>
      <c r="Z96" s="351"/>
      <c r="AA96" s="351"/>
      <c r="AB96" s="351"/>
      <c r="AC96" s="351"/>
      <c r="AD96" s="351"/>
      <c r="AE96" s="351"/>
      <c r="AF96" s="42" t="s">
        <v>906</v>
      </c>
      <c r="AG96" s="42" t="s">
        <v>473</v>
      </c>
      <c r="AH96" s="42" t="s">
        <v>473</v>
      </c>
      <c r="AI96" s="42"/>
      <c r="AJ96" s="42" t="s">
        <v>196</v>
      </c>
      <c r="AK96" s="47" t="s">
        <v>726</v>
      </c>
    </row>
    <row r="97" spans="2:37" x14ac:dyDescent="0.3">
      <c r="B97" s="506"/>
      <c r="C97" s="506"/>
      <c r="D97" s="506"/>
      <c r="E97" s="506"/>
      <c r="F97" s="435"/>
      <c r="G97" s="435"/>
      <c r="H97" s="519"/>
      <c r="I97" s="520"/>
      <c r="J97" s="351"/>
      <c r="K97" s="42" t="s">
        <v>43</v>
      </c>
      <c r="L97" s="42" t="s">
        <v>837</v>
      </c>
      <c r="M97" s="441"/>
      <c r="N97" s="42" t="s">
        <v>76</v>
      </c>
      <c r="O97" s="42" t="s">
        <v>93</v>
      </c>
      <c r="P97" s="373"/>
      <c r="Q97" s="373"/>
      <c r="R97" s="373"/>
      <c r="S97" s="351"/>
      <c r="T97" s="450"/>
      <c r="U97" s="450"/>
      <c r="V97" s="450"/>
      <c r="W97" s="452"/>
      <c r="X97" s="351"/>
      <c r="Y97" s="351"/>
      <c r="Z97" s="351"/>
      <c r="AA97" s="351"/>
      <c r="AB97" s="351"/>
      <c r="AC97" s="351"/>
      <c r="AD97" s="351"/>
      <c r="AE97" s="351"/>
      <c r="AF97" s="42" t="s">
        <v>333</v>
      </c>
      <c r="AG97" s="42" t="s">
        <v>473</v>
      </c>
      <c r="AH97" s="42" t="s">
        <v>473</v>
      </c>
      <c r="AI97" s="42"/>
      <c r="AJ97" s="42" t="s">
        <v>224</v>
      </c>
      <c r="AK97" s="47" t="s">
        <v>725</v>
      </c>
    </row>
    <row r="98" spans="2:37" x14ac:dyDescent="0.3">
      <c r="B98" s="506"/>
      <c r="C98" s="506"/>
      <c r="D98" s="506"/>
      <c r="E98" s="506"/>
      <c r="F98" s="435"/>
      <c r="G98" s="435"/>
      <c r="H98" s="519"/>
      <c r="I98" s="520"/>
      <c r="J98" s="351"/>
      <c r="K98" s="42" t="s">
        <v>42</v>
      </c>
      <c r="L98" s="42" t="s">
        <v>838</v>
      </c>
      <c r="M98" s="441"/>
      <c r="N98" s="42" t="s">
        <v>76</v>
      </c>
      <c r="O98" s="42" t="s">
        <v>93</v>
      </c>
      <c r="P98" s="373"/>
      <c r="Q98" s="373"/>
      <c r="R98" s="373"/>
      <c r="S98" s="351"/>
      <c r="T98" s="450"/>
      <c r="U98" s="450"/>
      <c r="V98" s="450"/>
      <c r="W98" s="452"/>
      <c r="X98" s="351"/>
      <c r="Y98" s="351"/>
      <c r="Z98" s="351"/>
      <c r="AA98" s="351"/>
      <c r="AB98" s="351"/>
      <c r="AC98" s="351"/>
      <c r="AD98" s="351"/>
      <c r="AE98" s="351"/>
      <c r="AF98" s="42" t="s">
        <v>905</v>
      </c>
      <c r="AG98" s="42" t="s">
        <v>473</v>
      </c>
      <c r="AH98" s="42" t="s">
        <v>473</v>
      </c>
      <c r="AI98" s="42"/>
      <c r="AJ98" s="42" t="s">
        <v>235</v>
      </c>
      <c r="AK98" s="47" t="s">
        <v>732</v>
      </c>
    </row>
    <row r="99" spans="2:37" x14ac:dyDescent="0.3">
      <c r="B99" s="506"/>
      <c r="C99" s="506"/>
      <c r="D99" s="506"/>
      <c r="E99" s="506"/>
      <c r="F99" s="435"/>
      <c r="G99" s="435"/>
      <c r="H99" s="519"/>
      <c r="I99" s="520"/>
      <c r="J99" s="351"/>
      <c r="K99" s="42" t="s">
        <v>839</v>
      </c>
      <c r="L99" s="42" t="s">
        <v>840</v>
      </c>
      <c r="M99" s="441"/>
      <c r="N99" s="42" t="s">
        <v>76</v>
      </c>
      <c r="O99" s="42" t="s">
        <v>93</v>
      </c>
      <c r="P99" s="373"/>
      <c r="Q99" s="373"/>
      <c r="R99" s="373"/>
      <c r="S99" s="351"/>
      <c r="T99" s="450"/>
      <c r="U99" s="450"/>
      <c r="V99" s="450"/>
      <c r="W99" s="452"/>
      <c r="X99" s="351"/>
      <c r="Y99" s="351"/>
      <c r="Z99" s="351"/>
      <c r="AA99" s="351"/>
      <c r="AB99" s="351"/>
      <c r="AC99" s="351"/>
      <c r="AD99" s="351"/>
      <c r="AE99" s="351"/>
      <c r="AF99" s="42" t="s">
        <v>904</v>
      </c>
      <c r="AG99" s="42" t="s">
        <v>473</v>
      </c>
      <c r="AH99" s="42" t="s">
        <v>473</v>
      </c>
      <c r="AI99" s="42"/>
      <c r="AJ99" s="42" t="s">
        <v>285</v>
      </c>
      <c r="AK99" s="47" t="s">
        <v>739</v>
      </c>
    </row>
    <row r="100" spans="2:37" x14ac:dyDescent="0.3">
      <c r="B100" s="506"/>
      <c r="C100" s="506"/>
      <c r="D100" s="506"/>
      <c r="E100" s="506"/>
      <c r="F100" s="435"/>
      <c r="G100" s="435"/>
      <c r="H100" s="519"/>
      <c r="I100" s="520"/>
      <c r="J100" s="351"/>
      <c r="K100" s="42" t="s">
        <v>841</v>
      </c>
      <c r="L100" s="42" t="s">
        <v>842</v>
      </c>
      <c r="M100" s="441"/>
      <c r="N100" s="42" t="s">
        <v>76</v>
      </c>
      <c r="O100" s="42" t="s">
        <v>426</v>
      </c>
      <c r="P100" s="373"/>
      <c r="Q100" s="373"/>
      <c r="R100" s="373"/>
      <c r="S100" s="351"/>
      <c r="T100" s="450"/>
      <c r="U100" s="450"/>
      <c r="V100" s="450"/>
      <c r="W100" s="452"/>
      <c r="X100" s="351"/>
      <c r="Y100" s="351"/>
      <c r="Z100" s="351"/>
      <c r="AA100" s="351"/>
      <c r="AB100" s="351"/>
      <c r="AC100" s="351"/>
      <c r="AD100" s="351"/>
      <c r="AE100" s="351"/>
      <c r="AF100" s="42"/>
      <c r="AG100" s="42"/>
      <c r="AH100" s="42"/>
      <c r="AI100" s="42"/>
      <c r="AJ100" s="42"/>
      <c r="AK100" s="47"/>
    </row>
    <row r="101" spans="2:37" x14ac:dyDescent="0.3">
      <c r="B101" s="506"/>
      <c r="C101" s="506"/>
      <c r="D101" s="506"/>
      <c r="E101" s="506"/>
      <c r="F101" s="435"/>
      <c r="G101" s="435"/>
      <c r="H101" s="519"/>
      <c r="I101" s="520"/>
      <c r="J101" s="351"/>
      <c r="K101" s="42" t="s">
        <v>368</v>
      </c>
      <c r="L101" s="42" t="s">
        <v>843</v>
      </c>
      <c r="M101" s="441"/>
      <c r="N101" s="42" t="s">
        <v>410</v>
      </c>
      <c r="O101" s="42"/>
      <c r="P101" s="373"/>
      <c r="Q101" s="373"/>
      <c r="R101" s="373"/>
      <c r="S101" s="351"/>
      <c r="T101" s="450"/>
      <c r="U101" s="450"/>
      <c r="V101" s="450"/>
      <c r="W101" s="452"/>
      <c r="X101" s="351"/>
      <c r="Y101" s="351"/>
      <c r="Z101" s="351"/>
      <c r="AA101" s="351"/>
      <c r="AB101" s="351"/>
      <c r="AC101" s="351"/>
      <c r="AD101" s="351"/>
      <c r="AE101" s="351"/>
      <c r="AF101" s="42" t="s">
        <v>903</v>
      </c>
      <c r="AG101" s="42" t="s">
        <v>473</v>
      </c>
      <c r="AH101" s="42" t="s">
        <v>473</v>
      </c>
      <c r="AI101" s="42"/>
      <c r="AJ101" s="42" t="s">
        <v>289</v>
      </c>
      <c r="AK101" s="47" t="s">
        <v>289</v>
      </c>
    </row>
    <row r="102" spans="2:37" x14ac:dyDescent="0.3">
      <c r="B102" s="506"/>
      <c r="C102" s="506"/>
      <c r="D102" s="506"/>
      <c r="E102" s="506"/>
      <c r="F102" s="435"/>
      <c r="G102" s="435"/>
      <c r="H102" s="519"/>
      <c r="I102" s="520"/>
      <c r="J102" s="351"/>
      <c r="K102" s="42" t="s">
        <v>369</v>
      </c>
      <c r="L102" s="42" t="s">
        <v>842</v>
      </c>
      <c r="M102" s="441"/>
      <c r="N102" s="42" t="s">
        <v>411</v>
      </c>
      <c r="O102" s="42"/>
      <c r="P102" s="373"/>
      <c r="Q102" s="373"/>
      <c r="R102" s="373"/>
      <c r="S102" s="351"/>
      <c r="T102" s="450"/>
      <c r="U102" s="450"/>
      <c r="V102" s="450"/>
      <c r="W102" s="452"/>
      <c r="X102" s="351"/>
      <c r="Y102" s="351"/>
      <c r="Z102" s="351"/>
      <c r="AA102" s="351"/>
      <c r="AB102" s="351"/>
      <c r="AC102" s="351"/>
      <c r="AD102" s="351"/>
      <c r="AE102" s="351"/>
      <c r="AF102" s="42" t="s">
        <v>902</v>
      </c>
      <c r="AG102" s="42" t="s">
        <v>473</v>
      </c>
      <c r="AH102" s="42" t="s">
        <v>473</v>
      </c>
      <c r="AI102" s="42"/>
      <c r="AJ102" s="42" t="s">
        <v>289</v>
      </c>
      <c r="AK102" s="47" t="s">
        <v>289</v>
      </c>
    </row>
    <row r="103" spans="2:37" x14ac:dyDescent="0.3">
      <c r="B103" s="506"/>
      <c r="C103" s="506"/>
      <c r="D103" s="506"/>
      <c r="E103" s="506"/>
      <c r="F103" s="435"/>
      <c r="G103" s="435"/>
      <c r="H103" s="519"/>
      <c r="I103" s="520"/>
      <c r="J103" s="351"/>
      <c r="K103" s="42" t="s">
        <v>844</v>
      </c>
      <c r="L103" s="42">
        <v>163</v>
      </c>
      <c r="M103" s="441"/>
      <c r="N103" s="42" t="s">
        <v>76</v>
      </c>
      <c r="O103" s="42">
        <v>50</v>
      </c>
      <c r="P103" s="373"/>
      <c r="Q103" s="373"/>
      <c r="R103" s="373"/>
      <c r="S103" s="351"/>
      <c r="T103" s="450"/>
      <c r="U103" s="450"/>
      <c r="V103" s="450"/>
      <c r="W103" s="452"/>
      <c r="X103" s="351"/>
      <c r="Y103" s="351"/>
      <c r="Z103" s="351"/>
      <c r="AA103" s="351"/>
      <c r="AB103" s="351"/>
      <c r="AC103" s="351"/>
      <c r="AD103" s="351"/>
      <c r="AE103" s="351"/>
      <c r="AF103" s="42"/>
      <c r="AG103" s="42"/>
      <c r="AH103" s="42"/>
      <c r="AI103" s="42"/>
      <c r="AJ103" s="42"/>
      <c r="AK103" s="47"/>
    </row>
    <row r="104" spans="2:37" x14ac:dyDescent="0.3">
      <c r="B104" s="506"/>
      <c r="C104" s="506"/>
      <c r="D104" s="506"/>
      <c r="E104" s="506"/>
      <c r="F104" s="435"/>
      <c r="G104" s="435"/>
      <c r="H104" s="519"/>
      <c r="I104" s="520"/>
      <c r="J104" s="351"/>
      <c r="K104" s="42" t="s">
        <v>52</v>
      </c>
      <c r="L104" s="42">
        <v>163</v>
      </c>
      <c r="M104" s="441"/>
      <c r="N104" s="42" t="s">
        <v>575</v>
      </c>
      <c r="O104" s="42"/>
      <c r="P104" s="373"/>
      <c r="Q104" s="373"/>
      <c r="R104" s="373"/>
      <c r="S104" s="351"/>
      <c r="T104" s="450"/>
      <c r="U104" s="450"/>
      <c r="V104" s="450"/>
      <c r="W104" s="452"/>
      <c r="X104" s="351"/>
      <c r="Y104" s="351"/>
      <c r="Z104" s="351"/>
      <c r="AA104" s="351"/>
      <c r="AB104" s="351"/>
      <c r="AC104" s="351"/>
      <c r="AD104" s="351"/>
      <c r="AE104" s="351"/>
      <c r="AF104" s="42" t="s">
        <v>901</v>
      </c>
      <c r="AG104" s="42" t="s">
        <v>473</v>
      </c>
      <c r="AH104" s="42" t="s">
        <v>473</v>
      </c>
      <c r="AI104" s="42"/>
      <c r="AJ104" s="42" t="s">
        <v>559</v>
      </c>
      <c r="AK104" s="47" t="s">
        <v>900</v>
      </c>
    </row>
    <row r="105" spans="2:37" x14ac:dyDescent="0.3">
      <c r="B105" s="506"/>
      <c r="C105" s="506"/>
      <c r="D105" s="506"/>
      <c r="E105" s="506"/>
      <c r="F105" s="436"/>
      <c r="G105" s="436"/>
      <c r="H105" s="521"/>
      <c r="I105" s="522"/>
      <c r="J105" s="351"/>
      <c r="K105" s="37" t="s">
        <v>827</v>
      </c>
      <c r="L105" s="42"/>
      <c r="M105" s="442"/>
      <c r="N105" s="42"/>
      <c r="O105" s="42"/>
      <c r="P105" s="374"/>
      <c r="Q105" s="374"/>
      <c r="R105" s="374"/>
      <c r="S105" s="351"/>
      <c r="T105" s="450"/>
      <c r="U105" s="450"/>
      <c r="V105" s="450"/>
      <c r="W105" s="453"/>
      <c r="X105" s="351"/>
      <c r="Y105" s="351"/>
      <c r="Z105" s="351"/>
      <c r="AA105" s="351"/>
      <c r="AB105" s="351"/>
      <c r="AC105" s="351"/>
      <c r="AD105" s="351"/>
      <c r="AE105" s="351"/>
      <c r="AF105" s="41" t="s">
        <v>901</v>
      </c>
      <c r="AG105" s="41" t="s">
        <v>473</v>
      </c>
      <c r="AH105" s="41" t="s">
        <v>473</v>
      </c>
      <c r="AI105" s="41"/>
      <c r="AJ105" s="41" t="s">
        <v>559</v>
      </c>
      <c r="AK105" s="48" t="s">
        <v>900</v>
      </c>
    </row>
    <row r="106" spans="2:37" ht="28.8" x14ac:dyDescent="0.3">
      <c r="B106" s="506"/>
      <c r="C106" s="506"/>
      <c r="D106" s="506"/>
      <c r="E106" s="506"/>
      <c r="F106" s="437" t="s">
        <v>899</v>
      </c>
      <c r="G106" s="317" t="s">
        <v>898</v>
      </c>
      <c r="H106" s="320"/>
      <c r="I106" s="322"/>
      <c r="J106" s="352" t="s">
        <v>826</v>
      </c>
      <c r="K106" s="38" t="s">
        <v>897</v>
      </c>
      <c r="L106" s="38">
        <v>9165</v>
      </c>
      <c r="M106" s="317" t="s">
        <v>1077</v>
      </c>
      <c r="N106" s="38" t="s">
        <v>76</v>
      </c>
      <c r="O106" s="38">
        <v>50</v>
      </c>
      <c r="P106" s="352" t="s">
        <v>153</v>
      </c>
      <c r="Q106" s="352" t="s">
        <v>1093</v>
      </c>
      <c r="R106" s="317" t="s">
        <v>896</v>
      </c>
      <c r="S106" s="352" t="s">
        <v>1002</v>
      </c>
      <c r="T106" s="352" t="s">
        <v>669</v>
      </c>
      <c r="U106" s="352" t="s">
        <v>670</v>
      </c>
      <c r="V106" s="317" t="s">
        <v>993</v>
      </c>
      <c r="W106" s="331" t="s">
        <v>1092</v>
      </c>
      <c r="X106" s="320" t="s">
        <v>668</v>
      </c>
      <c r="Y106" s="321"/>
      <c r="Z106" s="321"/>
      <c r="AA106" s="321"/>
      <c r="AB106" s="321"/>
      <c r="AC106" s="322"/>
      <c r="AD106" s="38" t="s">
        <v>889</v>
      </c>
      <c r="AE106" s="218" t="s">
        <v>1252</v>
      </c>
      <c r="AF106" s="320" t="s">
        <v>360</v>
      </c>
      <c r="AG106" s="321"/>
      <c r="AH106" s="321"/>
      <c r="AI106" s="321"/>
      <c r="AJ106" s="321"/>
      <c r="AK106" s="456"/>
    </row>
    <row r="107" spans="2:37" x14ac:dyDescent="0.3">
      <c r="B107" s="506"/>
      <c r="C107" s="506"/>
      <c r="D107" s="506"/>
      <c r="E107" s="506"/>
      <c r="F107" s="438"/>
      <c r="G107" s="318"/>
      <c r="H107" s="323"/>
      <c r="I107" s="325"/>
      <c r="J107" s="353"/>
      <c r="K107" s="38" t="s">
        <v>894</v>
      </c>
      <c r="L107" s="38">
        <v>3002</v>
      </c>
      <c r="M107" s="318"/>
      <c r="N107" s="38" t="s">
        <v>849</v>
      </c>
      <c r="O107" s="38"/>
      <c r="P107" s="353"/>
      <c r="Q107" s="353"/>
      <c r="R107" s="318"/>
      <c r="S107" s="353"/>
      <c r="T107" s="353"/>
      <c r="U107" s="353"/>
      <c r="V107" s="318"/>
      <c r="W107" s="323"/>
      <c r="X107" s="323"/>
      <c r="Y107" s="324"/>
      <c r="Z107" s="324"/>
      <c r="AA107" s="324"/>
      <c r="AB107" s="324"/>
      <c r="AC107" s="325"/>
      <c r="AD107" s="38" t="s">
        <v>889</v>
      </c>
      <c r="AE107" s="212">
        <v>1.1799999999999999E-6</v>
      </c>
      <c r="AF107" s="323"/>
      <c r="AG107" s="324"/>
      <c r="AH107" s="324"/>
      <c r="AI107" s="324"/>
      <c r="AJ107" s="324"/>
      <c r="AK107" s="457"/>
    </row>
    <row r="108" spans="2:37" x14ac:dyDescent="0.3">
      <c r="B108" s="506"/>
      <c r="C108" s="506"/>
      <c r="D108" s="506"/>
      <c r="E108" s="506"/>
      <c r="F108" s="438"/>
      <c r="G108" s="318"/>
      <c r="H108" s="323"/>
      <c r="I108" s="325"/>
      <c r="J108" s="353"/>
      <c r="K108" s="38" t="s">
        <v>892</v>
      </c>
      <c r="L108" s="38">
        <v>5372</v>
      </c>
      <c r="M108" s="318"/>
      <c r="N108" s="38" t="s">
        <v>848</v>
      </c>
      <c r="O108" s="38"/>
      <c r="P108" s="353"/>
      <c r="Q108" s="353"/>
      <c r="R108" s="318"/>
      <c r="S108" s="353"/>
      <c r="T108" s="353"/>
      <c r="U108" s="353"/>
      <c r="V108" s="318"/>
      <c r="W108" s="323"/>
      <c r="X108" s="323"/>
      <c r="Y108" s="324"/>
      <c r="Z108" s="324"/>
      <c r="AA108" s="324"/>
      <c r="AB108" s="324"/>
      <c r="AC108" s="325"/>
      <c r="AD108" s="38"/>
      <c r="AE108" s="212">
        <v>2.6599999999999999E-5</v>
      </c>
      <c r="AF108" s="323"/>
      <c r="AG108" s="324"/>
      <c r="AH108" s="324"/>
      <c r="AI108" s="324"/>
      <c r="AJ108" s="324"/>
      <c r="AK108" s="457"/>
    </row>
    <row r="109" spans="2:37" x14ac:dyDescent="0.3">
      <c r="B109" s="506"/>
      <c r="C109" s="506"/>
      <c r="D109" s="506"/>
      <c r="E109" s="506"/>
      <c r="F109" s="439"/>
      <c r="G109" s="319"/>
      <c r="H109" s="326"/>
      <c r="I109" s="328"/>
      <c r="J109" s="354"/>
      <c r="K109" s="38" t="s">
        <v>890</v>
      </c>
      <c r="L109" s="38">
        <v>790</v>
      </c>
      <c r="M109" s="319"/>
      <c r="N109" s="38" t="s">
        <v>847</v>
      </c>
      <c r="O109" s="38"/>
      <c r="P109" s="354"/>
      <c r="Q109" s="354"/>
      <c r="R109" s="319"/>
      <c r="S109" s="354"/>
      <c r="T109" s="354"/>
      <c r="U109" s="354"/>
      <c r="V109" s="319"/>
      <c r="W109" s="326"/>
      <c r="X109" s="326"/>
      <c r="Y109" s="327"/>
      <c r="Z109" s="327"/>
      <c r="AA109" s="327"/>
      <c r="AB109" s="327"/>
      <c r="AC109" s="328"/>
      <c r="AD109" s="38" t="s">
        <v>889</v>
      </c>
      <c r="AE109" s="213">
        <v>1.46E-4</v>
      </c>
      <c r="AF109" s="326"/>
      <c r="AG109" s="327"/>
      <c r="AH109" s="327"/>
      <c r="AI109" s="327"/>
      <c r="AJ109" s="327"/>
      <c r="AK109" s="458"/>
    </row>
    <row r="110" spans="2:37" ht="28.95" customHeight="1" x14ac:dyDescent="0.3">
      <c r="B110" s="506"/>
      <c r="C110" s="506"/>
      <c r="D110" s="506"/>
      <c r="E110" s="506"/>
      <c r="F110" s="429" t="s">
        <v>899</v>
      </c>
      <c r="G110" s="310" t="s">
        <v>924</v>
      </c>
      <c r="H110" s="310"/>
      <c r="I110" s="310"/>
      <c r="J110" s="335" t="s">
        <v>1038</v>
      </c>
      <c r="K110" s="49" t="s">
        <v>28</v>
      </c>
      <c r="L110" s="49">
        <v>291</v>
      </c>
      <c r="M110" s="443" t="s">
        <v>1077</v>
      </c>
      <c r="N110" s="49" t="s">
        <v>76</v>
      </c>
      <c r="O110" s="49">
        <v>29</v>
      </c>
      <c r="P110" s="335" t="s">
        <v>1034</v>
      </c>
      <c r="Q110" s="446" t="s">
        <v>845</v>
      </c>
      <c r="R110" s="335" t="s">
        <v>887</v>
      </c>
      <c r="S110" s="355" t="s">
        <v>999</v>
      </c>
      <c r="T110" s="335" t="s">
        <v>669</v>
      </c>
      <c r="U110" s="335" t="s">
        <v>670</v>
      </c>
      <c r="V110" s="310" t="s">
        <v>993</v>
      </c>
      <c r="W110" s="332" t="s">
        <v>1092</v>
      </c>
      <c r="X110" s="310" t="s">
        <v>360</v>
      </c>
      <c r="Y110" s="310"/>
      <c r="Z110" s="310"/>
      <c r="AA110" s="310"/>
      <c r="AB110" s="310"/>
      <c r="AC110" s="310"/>
      <c r="AD110" s="310"/>
      <c r="AE110" s="310"/>
      <c r="AF110" s="49" t="s">
        <v>925</v>
      </c>
      <c r="AG110" s="49" t="s">
        <v>926</v>
      </c>
      <c r="AH110" s="49" t="s">
        <v>927</v>
      </c>
      <c r="AI110" s="49"/>
      <c r="AJ110" s="49" t="s">
        <v>446</v>
      </c>
      <c r="AK110" s="50" t="s">
        <v>676</v>
      </c>
    </row>
    <row r="111" spans="2:37" x14ac:dyDescent="0.3">
      <c r="B111" s="506"/>
      <c r="C111" s="506"/>
      <c r="D111" s="506"/>
      <c r="E111" s="506"/>
      <c r="F111" s="429"/>
      <c r="G111" s="310"/>
      <c r="H111" s="310"/>
      <c r="I111" s="310"/>
      <c r="J111" s="310"/>
      <c r="K111" s="49" t="s">
        <v>29</v>
      </c>
      <c r="L111" s="49" t="s">
        <v>886</v>
      </c>
      <c r="M111" s="444"/>
      <c r="N111" s="49" t="s">
        <v>76</v>
      </c>
      <c r="O111" s="49">
        <v>2</v>
      </c>
      <c r="P111" s="310"/>
      <c r="Q111" s="447"/>
      <c r="R111" s="310"/>
      <c r="S111" s="356"/>
      <c r="T111" s="310"/>
      <c r="U111" s="310"/>
      <c r="V111" s="310"/>
      <c r="W111" s="333"/>
      <c r="X111" s="310"/>
      <c r="Y111" s="310"/>
      <c r="Z111" s="310"/>
      <c r="AA111" s="310"/>
      <c r="AB111" s="310"/>
      <c r="AC111" s="310"/>
      <c r="AD111" s="310"/>
      <c r="AE111" s="310"/>
      <c r="AF111" s="49" t="s">
        <v>928</v>
      </c>
      <c r="AG111" s="49" t="s">
        <v>929</v>
      </c>
      <c r="AH111" s="49" t="s">
        <v>930</v>
      </c>
      <c r="AI111" s="49"/>
      <c r="AJ111" s="49" t="s">
        <v>186</v>
      </c>
      <c r="AK111" s="50" t="s">
        <v>187</v>
      </c>
    </row>
    <row r="112" spans="2:37" x14ac:dyDescent="0.3">
      <c r="B112" s="506"/>
      <c r="C112" s="506"/>
      <c r="D112" s="506"/>
      <c r="E112" s="506"/>
      <c r="F112" s="429"/>
      <c r="G112" s="310"/>
      <c r="H112" s="310"/>
      <c r="I112" s="310"/>
      <c r="J112" s="310"/>
      <c r="K112" s="49" t="s">
        <v>31</v>
      </c>
      <c r="L112" s="49" t="s">
        <v>885</v>
      </c>
      <c r="M112" s="444"/>
      <c r="N112" s="49" t="s">
        <v>884</v>
      </c>
      <c r="O112" s="49">
        <v>1</v>
      </c>
      <c r="P112" s="310"/>
      <c r="Q112" s="447"/>
      <c r="R112" s="310"/>
      <c r="S112" s="356"/>
      <c r="T112" s="310"/>
      <c r="U112" s="310"/>
      <c r="V112" s="310"/>
      <c r="W112" s="333"/>
      <c r="X112" s="310"/>
      <c r="Y112" s="310"/>
      <c r="Z112" s="310"/>
      <c r="AA112" s="310"/>
      <c r="AB112" s="310"/>
      <c r="AC112" s="310"/>
      <c r="AD112" s="310"/>
      <c r="AE112" s="310"/>
      <c r="AF112" s="49" t="s">
        <v>519</v>
      </c>
      <c r="AG112" s="49" t="s">
        <v>612</v>
      </c>
      <c r="AH112" s="49" t="s">
        <v>931</v>
      </c>
      <c r="AI112" s="49"/>
      <c r="AJ112" s="49" t="s">
        <v>691</v>
      </c>
      <c r="AK112" s="50" t="s">
        <v>233</v>
      </c>
    </row>
    <row r="113" spans="2:37" x14ac:dyDescent="0.3">
      <c r="B113" s="506"/>
      <c r="C113" s="506"/>
      <c r="D113" s="506"/>
      <c r="E113" s="506"/>
      <c r="F113" s="429"/>
      <c r="G113" s="310"/>
      <c r="H113" s="310"/>
      <c r="I113" s="310"/>
      <c r="J113" s="310"/>
      <c r="K113" s="49" t="s">
        <v>32</v>
      </c>
      <c r="L113" s="49">
        <v>1580</v>
      </c>
      <c r="M113" s="444"/>
      <c r="N113" s="49" t="s">
        <v>76</v>
      </c>
      <c r="O113" s="49">
        <v>103</v>
      </c>
      <c r="P113" s="310"/>
      <c r="Q113" s="447"/>
      <c r="R113" s="310"/>
      <c r="S113" s="356"/>
      <c r="T113" s="310"/>
      <c r="U113" s="310"/>
      <c r="V113" s="310"/>
      <c r="W113" s="333"/>
      <c r="X113" s="310"/>
      <c r="Y113" s="310"/>
      <c r="Z113" s="310"/>
      <c r="AA113" s="310"/>
      <c r="AB113" s="310"/>
      <c r="AC113" s="310"/>
      <c r="AD113" s="310"/>
      <c r="AE113" s="310"/>
      <c r="AF113" s="49" t="s">
        <v>932</v>
      </c>
      <c r="AG113" s="49" t="s">
        <v>933</v>
      </c>
      <c r="AH113" s="49" t="s">
        <v>934</v>
      </c>
      <c r="AI113" s="49"/>
      <c r="AJ113" s="49" t="s">
        <v>465</v>
      </c>
      <c r="AK113" s="50" t="s">
        <v>700</v>
      </c>
    </row>
    <row r="114" spans="2:37" x14ac:dyDescent="0.3">
      <c r="B114" s="506"/>
      <c r="C114" s="506"/>
      <c r="D114" s="506"/>
      <c r="E114" s="506"/>
      <c r="F114" s="429"/>
      <c r="G114" s="310"/>
      <c r="H114" s="310"/>
      <c r="I114" s="310"/>
      <c r="J114" s="310"/>
      <c r="K114" s="49" t="s">
        <v>33</v>
      </c>
      <c r="L114" s="49">
        <v>239</v>
      </c>
      <c r="M114" s="444"/>
      <c r="N114" s="49" t="s">
        <v>76</v>
      </c>
      <c r="O114" s="49">
        <v>120</v>
      </c>
      <c r="P114" s="310"/>
      <c r="Q114" s="447"/>
      <c r="R114" s="310"/>
      <c r="S114" s="356"/>
      <c r="T114" s="310"/>
      <c r="U114" s="310"/>
      <c r="V114" s="310"/>
      <c r="W114" s="333"/>
      <c r="X114" s="310"/>
      <c r="Y114" s="310"/>
      <c r="Z114" s="310"/>
      <c r="AA114" s="310"/>
      <c r="AB114" s="310"/>
      <c r="AC114" s="310"/>
      <c r="AD114" s="310"/>
      <c r="AE114" s="310"/>
      <c r="AF114" s="49" t="s">
        <v>935</v>
      </c>
      <c r="AG114" s="49" t="s">
        <v>936</v>
      </c>
      <c r="AH114" s="49" t="s">
        <v>614</v>
      </c>
      <c r="AI114" s="49"/>
      <c r="AJ114" s="49" t="s">
        <v>470</v>
      </c>
      <c r="AK114" s="50" t="s">
        <v>704</v>
      </c>
    </row>
    <row r="115" spans="2:37" x14ac:dyDescent="0.3">
      <c r="B115" s="506"/>
      <c r="C115" s="506"/>
      <c r="D115" s="506"/>
      <c r="E115" s="506"/>
      <c r="F115" s="429"/>
      <c r="G115" s="310"/>
      <c r="H115" s="310"/>
      <c r="I115" s="310"/>
      <c r="J115" s="310"/>
      <c r="K115" s="49" t="s">
        <v>883</v>
      </c>
      <c r="L115" s="49">
        <v>40</v>
      </c>
      <c r="M115" s="444"/>
      <c r="N115" s="49" t="s">
        <v>76</v>
      </c>
      <c r="O115" s="49">
        <v>14</v>
      </c>
      <c r="P115" s="310"/>
      <c r="Q115" s="447"/>
      <c r="R115" s="310"/>
      <c r="S115" s="356"/>
      <c r="T115" s="310"/>
      <c r="U115" s="310"/>
      <c r="V115" s="310"/>
      <c r="W115" s="333"/>
      <c r="X115" s="310"/>
      <c r="Y115" s="310"/>
      <c r="Z115" s="310"/>
      <c r="AA115" s="310"/>
      <c r="AB115" s="310"/>
      <c r="AC115" s="310"/>
      <c r="AD115" s="310"/>
      <c r="AE115" s="310"/>
      <c r="AF115" s="49" t="s">
        <v>937</v>
      </c>
      <c r="AG115" s="49" t="s">
        <v>237</v>
      </c>
      <c r="AH115" s="49" t="s">
        <v>237</v>
      </c>
      <c r="AI115" s="49"/>
      <c r="AJ115" s="49" t="s">
        <v>938</v>
      </c>
      <c r="AK115" s="50" t="s">
        <v>939</v>
      </c>
    </row>
    <row r="116" spans="2:37" x14ac:dyDescent="0.3">
      <c r="B116" s="506"/>
      <c r="C116" s="506"/>
      <c r="D116" s="506"/>
      <c r="E116" s="506"/>
      <c r="F116" s="429"/>
      <c r="G116" s="310"/>
      <c r="H116" s="310"/>
      <c r="I116" s="310"/>
      <c r="J116" s="310"/>
      <c r="K116" s="49" t="s">
        <v>882</v>
      </c>
      <c r="L116" s="49" t="s">
        <v>750</v>
      </c>
      <c r="M116" s="444"/>
      <c r="N116" s="49" t="s">
        <v>76</v>
      </c>
      <c r="O116" s="49">
        <v>1</v>
      </c>
      <c r="P116" s="310"/>
      <c r="Q116" s="447"/>
      <c r="R116" s="310"/>
      <c r="S116" s="356"/>
      <c r="T116" s="310"/>
      <c r="U116" s="310"/>
      <c r="V116" s="310"/>
      <c r="W116" s="333"/>
      <c r="X116" s="310"/>
      <c r="Y116" s="310"/>
      <c r="Z116" s="310"/>
      <c r="AA116" s="310"/>
      <c r="AB116" s="310"/>
      <c r="AC116" s="310"/>
      <c r="AD116" s="310"/>
      <c r="AE116" s="310"/>
      <c r="AF116" s="49" t="s">
        <v>940</v>
      </c>
      <c r="AG116" s="49" t="s">
        <v>237</v>
      </c>
      <c r="AH116" s="49" t="s">
        <v>237</v>
      </c>
      <c r="AI116" s="49"/>
      <c r="AJ116" s="49" t="s">
        <v>198</v>
      </c>
      <c r="AK116" s="50" t="s">
        <v>198</v>
      </c>
    </row>
    <row r="117" spans="2:37" x14ac:dyDescent="0.3">
      <c r="B117" s="506"/>
      <c r="C117" s="506"/>
      <c r="D117" s="506"/>
      <c r="E117" s="506"/>
      <c r="F117" s="429"/>
      <c r="G117" s="310"/>
      <c r="H117" s="310"/>
      <c r="I117" s="310"/>
      <c r="J117" s="310"/>
      <c r="K117" s="49" t="s">
        <v>34</v>
      </c>
      <c r="L117" s="49">
        <v>552</v>
      </c>
      <c r="M117" s="444"/>
      <c r="N117" s="49" t="s">
        <v>76</v>
      </c>
      <c r="O117" s="49">
        <v>100</v>
      </c>
      <c r="P117" s="310"/>
      <c r="Q117" s="447"/>
      <c r="R117" s="310"/>
      <c r="S117" s="356"/>
      <c r="T117" s="310"/>
      <c r="U117" s="310"/>
      <c r="V117" s="310"/>
      <c r="W117" s="333"/>
      <c r="X117" s="310"/>
      <c r="Y117" s="310"/>
      <c r="Z117" s="310"/>
      <c r="AA117" s="310"/>
      <c r="AB117" s="310"/>
      <c r="AC117" s="310"/>
      <c r="AD117" s="310"/>
      <c r="AE117" s="310"/>
      <c r="AF117" s="49" t="s">
        <v>941</v>
      </c>
      <c r="AG117" s="49" t="s">
        <v>942</v>
      </c>
      <c r="AH117" s="49" t="s">
        <v>943</v>
      </c>
      <c r="AI117" s="49"/>
      <c r="AJ117" s="49" t="s">
        <v>480</v>
      </c>
      <c r="AK117" s="50" t="s">
        <v>714</v>
      </c>
    </row>
    <row r="118" spans="2:37" x14ac:dyDescent="0.3">
      <c r="B118" s="506"/>
      <c r="C118" s="506"/>
      <c r="D118" s="506"/>
      <c r="E118" s="506"/>
      <c r="F118" s="429"/>
      <c r="G118" s="310"/>
      <c r="H118" s="310"/>
      <c r="I118" s="310"/>
      <c r="J118" s="310"/>
      <c r="K118" s="49" t="s">
        <v>35</v>
      </c>
      <c r="L118" s="49">
        <v>3710</v>
      </c>
      <c r="M118" s="444"/>
      <c r="N118" s="49" t="s">
        <v>76</v>
      </c>
      <c r="O118" s="49">
        <v>158</v>
      </c>
      <c r="P118" s="310"/>
      <c r="Q118" s="447"/>
      <c r="R118" s="310"/>
      <c r="S118" s="356"/>
      <c r="T118" s="310"/>
      <c r="U118" s="310"/>
      <c r="V118" s="310"/>
      <c r="W118" s="333"/>
      <c r="X118" s="310"/>
      <c r="Y118" s="310"/>
      <c r="Z118" s="310"/>
      <c r="AA118" s="310"/>
      <c r="AB118" s="310"/>
      <c r="AC118" s="310"/>
      <c r="AD118" s="310"/>
      <c r="AE118" s="310"/>
      <c r="AF118" s="49" t="s">
        <v>944</v>
      </c>
      <c r="AG118" s="49" t="s">
        <v>945</v>
      </c>
      <c r="AH118" s="49" t="s">
        <v>946</v>
      </c>
      <c r="AI118" s="49"/>
      <c r="AJ118" s="49" t="s">
        <v>207</v>
      </c>
      <c r="AK118" s="50" t="s">
        <v>718</v>
      </c>
    </row>
    <row r="119" spans="2:37" x14ac:dyDescent="0.3">
      <c r="B119" s="506"/>
      <c r="C119" s="506"/>
      <c r="D119" s="506"/>
      <c r="E119" s="506"/>
      <c r="F119" s="429"/>
      <c r="G119" s="310"/>
      <c r="H119" s="310"/>
      <c r="I119" s="310"/>
      <c r="J119" s="310"/>
      <c r="K119" s="49" t="s">
        <v>37</v>
      </c>
      <c r="L119" s="49">
        <v>112</v>
      </c>
      <c r="M119" s="444"/>
      <c r="N119" s="49" t="s">
        <v>76</v>
      </c>
      <c r="O119" s="49" t="s">
        <v>90</v>
      </c>
      <c r="P119" s="310"/>
      <c r="Q119" s="447"/>
      <c r="R119" s="310"/>
      <c r="S119" s="356"/>
      <c r="T119" s="310"/>
      <c r="U119" s="310"/>
      <c r="V119" s="310"/>
      <c r="W119" s="333"/>
      <c r="X119" s="310"/>
      <c r="Y119" s="310"/>
      <c r="Z119" s="310"/>
      <c r="AA119" s="310"/>
      <c r="AB119" s="310"/>
      <c r="AC119" s="310"/>
      <c r="AD119" s="310"/>
      <c r="AE119" s="310"/>
      <c r="AF119" s="49" t="s">
        <v>947</v>
      </c>
      <c r="AG119" s="49" t="s">
        <v>473</v>
      </c>
      <c r="AH119" s="49" t="s">
        <v>473</v>
      </c>
      <c r="AI119" s="49"/>
      <c r="AJ119" s="49" t="s">
        <v>214</v>
      </c>
      <c r="AK119" s="50" t="s">
        <v>720</v>
      </c>
    </row>
    <row r="120" spans="2:37" x14ac:dyDescent="0.3">
      <c r="B120" s="506"/>
      <c r="C120" s="506"/>
      <c r="D120" s="506"/>
      <c r="E120" s="506"/>
      <c r="F120" s="429"/>
      <c r="G120" s="310"/>
      <c r="H120" s="310"/>
      <c r="I120" s="310"/>
      <c r="J120" s="310"/>
      <c r="K120" s="49" t="s">
        <v>40</v>
      </c>
      <c r="L120" s="49" t="s">
        <v>881</v>
      </c>
      <c r="M120" s="444"/>
      <c r="N120" s="49" t="s">
        <v>76</v>
      </c>
      <c r="O120" s="49" t="s">
        <v>93</v>
      </c>
      <c r="P120" s="310"/>
      <c r="Q120" s="447"/>
      <c r="R120" s="310"/>
      <c r="S120" s="356"/>
      <c r="T120" s="310"/>
      <c r="U120" s="310"/>
      <c r="V120" s="310"/>
      <c r="W120" s="333"/>
      <c r="X120" s="310"/>
      <c r="Y120" s="310"/>
      <c r="Z120" s="310"/>
      <c r="AA120" s="310"/>
      <c r="AB120" s="310"/>
      <c r="AC120" s="310"/>
      <c r="AD120" s="310"/>
      <c r="AE120" s="310"/>
      <c r="AF120" s="49" t="s">
        <v>609</v>
      </c>
      <c r="AG120" s="49" t="s">
        <v>473</v>
      </c>
      <c r="AH120" s="49" t="s">
        <v>473</v>
      </c>
      <c r="AI120" s="49"/>
      <c r="AJ120" s="49" t="s">
        <v>217</v>
      </c>
      <c r="AK120" s="50" t="s">
        <v>722</v>
      </c>
    </row>
    <row r="121" spans="2:37" x14ac:dyDescent="0.3">
      <c r="B121" s="506"/>
      <c r="C121" s="506"/>
      <c r="D121" s="506"/>
      <c r="E121" s="506"/>
      <c r="F121" s="429"/>
      <c r="G121" s="310"/>
      <c r="H121" s="310"/>
      <c r="I121" s="310"/>
      <c r="J121" s="310"/>
      <c r="K121" s="49" t="s">
        <v>63</v>
      </c>
      <c r="L121" s="49">
        <v>108</v>
      </c>
      <c r="M121" s="444"/>
      <c r="N121" s="49" t="s">
        <v>76</v>
      </c>
      <c r="O121" s="49" t="s">
        <v>90</v>
      </c>
      <c r="P121" s="310"/>
      <c r="Q121" s="447"/>
      <c r="R121" s="310"/>
      <c r="S121" s="356"/>
      <c r="T121" s="310"/>
      <c r="U121" s="310"/>
      <c r="V121" s="310"/>
      <c r="W121" s="333"/>
      <c r="X121" s="310"/>
      <c r="Y121" s="310"/>
      <c r="Z121" s="310"/>
      <c r="AA121" s="310"/>
      <c r="AB121" s="310"/>
      <c r="AC121" s="310"/>
      <c r="AD121" s="310"/>
      <c r="AE121" s="310"/>
      <c r="AF121" s="49" t="s">
        <v>948</v>
      </c>
      <c r="AG121" s="49" t="s">
        <v>473</v>
      </c>
      <c r="AH121" s="49" t="s">
        <v>473</v>
      </c>
      <c r="AI121" s="49"/>
      <c r="AJ121" s="49" t="s">
        <v>221</v>
      </c>
      <c r="AK121" s="50" t="s">
        <v>724</v>
      </c>
    </row>
    <row r="122" spans="2:37" x14ac:dyDescent="0.3">
      <c r="B122" s="506"/>
      <c r="C122" s="506"/>
      <c r="D122" s="506"/>
      <c r="E122" s="506"/>
      <c r="F122" s="429"/>
      <c r="G122" s="310"/>
      <c r="H122" s="310"/>
      <c r="I122" s="310"/>
      <c r="J122" s="310"/>
      <c r="K122" s="49" t="s">
        <v>801</v>
      </c>
      <c r="L122" s="49">
        <v>108</v>
      </c>
      <c r="M122" s="444"/>
      <c r="N122" s="49" t="s">
        <v>76</v>
      </c>
      <c r="O122" s="49" t="s">
        <v>90</v>
      </c>
      <c r="P122" s="310"/>
      <c r="Q122" s="447"/>
      <c r="R122" s="310"/>
      <c r="S122" s="356"/>
      <c r="T122" s="310"/>
      <c r="U122" s="310"/>
      <c r="V122" s="310"/>
      <c r="W122" s="333"/>
      <c r="X122" s="310"/>
      <c r="Y122" s="310"/>
      <c r="Z122" s="310"/>
      <c r="AA122" s="310"/>
      <c r="AB122" s="310"/>
      <c r="AC122" s="310"/>
      <c r="AD122" s="310"/>
      <c r="AE122" s="310"/>
      <c r="AF122" s="49" t="s">
        <v>948</v>
      </c>
      <c r="AG122" s="49" t="s">
        <v>473</v>
      </c>
      <c r="AH122" s="49" t="s">
        <v>473</v>
      </c>
      <c r="AI122" s="49"/>
      <c r="AJ122" s="49" t="s">
        <v>501</v>
      </c>
      <c r="AK122" s="50" t="s">
        <v>907</v>
      </c>
    </row>
    <row r="123" spans="2:37" x14ac:dyDescent="0.3">
      <c r="B123" s="506"/>
      <c r="C123" s="506"/>
      <c r="D123" s="506"/>
      <c r="E123" s="506"/>
      <c r="F123" s="429"/>
      <c r="G123" s="310"/>
      <c r="H123" s="310"/>
      <c r="I123" s="310"/>
      <c r="J123" s="310"/>
      <c r="K123" s="49" t="s">
        <v>39</v>
      </c>
      <c r="L123" s="49" t="s">
        <v>880</v>
      </c>
      <c r="M123" s="444"/>
      <c r="N123" s="49" t="s">
        <v>76</v>
      </c>
      <c r="O123" s="49" t="s">
        <v>90</v>
      </c>
      <c r="P123" s="310"/>
      <c r="Q123" s="447"/>
      <c r="R123" s="310"/>
      <c r="S123" s="356"/>
      <c r="T123" s="310"/>
      <c r="U123" s="310"/>
      <c r="V123" s="310"/>
      <c r="W123" s="333"/>
      <c r="X123" s="310"/>
      <c r="Y123" s="310"/>
      <c r="Z123" s="310"/>
      <c r="AA123" s="310"/>
      <c r="AB123" s="310"/>
      <c r="AC123" s="310"/>
      <c r="AD123" s="310"/>
      <c r="AE123" s="310"/>
      <c r="AF123" s="49" t="s">
        <v>949</v>
      </c>
      <c r="AG123" s="49" t="s">
        <v>473</v>
      </c>
      <c r="AH123" s="49" t="s">
        <v>473</v>
      </c>
      <c r="AI123" s="49"/>
      <c r="AJ123" s="49" t="s">
        <v>196</v>
      </c>
      <c r="AK123" s="50" t="s">
        <v>726</v>
      </c>
    </row>
    <row r="124" spans="2:37" x14ac:dyDescent="0.3">
      <c r="B124" s="506"/>
      <c r="C124" s="506"/>
      <c r="D124" s="506"/>
      <c r="E124" s="506"/>
      <c r="F124" s="429"/>
      <c r="G124" s="310"/>
      <c r="H124" s="310"/>
      <c r="I124" s="310"/>
      <c r="J124" s="310"/>
      <c r="K124" s="49" t="s">
        <v>43</v>
      </c>
      <c r="L124" s="49" t="s">
        <v>879</v>
      </c>
      <c r="M124" s="444"/>
      <c r="N124" s="49" t="s">
        <v>76</v>
      </c>
      <c r="O124" s="49" t="s">
        <v>93</v>
      </c>
      <c r="P124" s="310"/>
      <c r="Q124" s="447"/>
      <c r="R124" s="310"/>
      <c r="S124" s="356"/>
      <c r="T124" s="310"/>
      <c r="U124" s="310"/>
      <c r="V124" s="310"/>
      <c r="W124" s="333"/>
      <c r="X124" s="310"/>
      <c r="Y124" s="310"/>
      <c r="Z124" s="310"/>
      <c r="AA124" s="310"/>
      <c r="AB124" s="310"/>
      <c r="AC124" s="310"/>
      <c r="AD124" s="310"/>
      <c r="AE124" s="310"/>
      <c r="AF124" s="49" t="s">
        <v>950</v>
      </c>
      <c r="AG124" s="49" t="s">
        <v>473</v>
      </c>
      <c r="AH124" s="49" t="s">
        <v>473</v>
      </c>
      <c r="AI124" s="49"/>
      <c r="AJ124" s="49" t="s">
        <v>224</v>
      </c>
      <c r="AK124" s="50" t="s">
        <v>725</v>
      </c>
    </row>
    <row r="125" spans="2:37" x14ac:dyDescent="0.3">
      <c r="B125" s="506"/>
      <c r="C125" s="506"/>
      <c r="D125" s="506"/>
      <c r="E125" s="506"/>
      <c r="F125" s="429"/>
      <c r="G125" s="310"/>
      <c r="H125" s="310"/>
      <c r="I125" s="310"/>
      <c r="J125" s="310"/>
      <c r="K125" s="49" t="s">
        <v>38</v>
      </c>
      <c r="L125" s="49">
        <v>101</v>
      </c>
      <c r="M125" s="444"/>
      <c r="N125" s="49" t="s">
        <v>76</v>
      </c>
      <c r="O125" s="49">
        <v>5</v>
      </c>
      <c r="P125" s="310"/>
      <c r="Q125" s="447"/>
      <c r="R125" s="310"/>
      <c r="S125" s="356"/>
      <c r="T125" s="310"/>
      <c r="U125" s="310"/>
      <c r="V125" s="310"/>
      <c r="W125" s="333"/>
      <c r="X125" s="310"/>
      <c r="Y125" s="310"/>
      <c r="Z125" s="310"/>
      <c r="AA125" s="310"/>
      <c r="AB125" s="310"/>
      <c r="AC125" s="310"/>
      <c r="AD125" s="310"/>
      <c r="AE125" s="310"/>
      <c r="AF125" s="49" t="s">
        <v>951</v>
      </c>
      <c r="AG125" s="49" t="s">
        <v>473</v>
      </c>
      <c r="AH125" s="49" t="s">
        <v>473</v>
      </c>
      <c r="AI125" s="49"/>
      <c r="AJ125" s="49" t="s">
        <v>229</v>
      </c>
      <c r="AK125" s="50" t="s">
        <v>952</v>
      </c>
    </row>
    <row r="126" spans="2:37" x14ac:dyDescent="0.3">
      <c r="B126" s="506"/>
      <c r="C126" s="506"/>
      <c r="D126" s="506"/>
      <c r="E126" s="506"/>
      <c r="F126" s="429"/>
      <c r="G126" s="310"/>
      <c r="H126" s="310"/>
      <c r="I126" s="310"/>
      <c r="J126" s="310"/>
      <c r="K126" s="49" t="s">
        <v>44</v>
      </c>
      <c r="L126" s="49" t="s">
        <v>878</v>
      </c>
      <c r="M126" s="444"/>
      <c r="N126" s="49" t="s">
        <v>76</v>
      </c>
      <c r="O126" s="49" t="s">
        <v>93</v>
      </c>
      <c r="P126" s="310"/>
      <c r="Q126" s="447"/>
      <c r="R126" s="310"/>
      <c r="S126" s="356"/>
      <c r="T126" s="310"/>
      <c r="U126" s="310"/>
      <c r="V126" s="310"/>
      <c r="W126" s="333"/>
      <c r="X126" s="310"/>
      <c r="Y126" s="310"/>
      <c r="Z126" s="310"/>
      <c r="AA126" s="310"/>
      <c r="AB126" s="310"/>
      <c r="AC126" s="310"/>
      <c r="AD126" s="310"/>
      <c r="AE126" s="310"/>
      <c r="AF126" s="49" t="s">
        <v>953</v>
      </c>
      <c r="AG126" s="49" t="s">
        <v>473</v>
      </c>
      <c r="AH126" s="49" t="s">
        <v>473</v>
      </c>
      <c r="AI126" s="49"/>
      <c r="AJ126" s="49" t="s">
        <v>517</v>
      </c>
      <c r="AK126" s="50" t="s">
        <v>730</v>
      </c>
    </row>
    <row r="127" spans="2:37" x14ac:dyDescent="0.3">
      <c r="B127" s="506"/>
      <c r="C127" s="506"/>
      <c r="D127" s="506"/>
      <c r="E127" s="506"/>
      <c r="F127" s="429"/>
      <c r="G127" s="310"/>
      <c r="H127" s="310"/>
      <c r="I127" s="310"/>
      <c r="J127" s="310"/>
      <c r="K127" s="49" t="s">
        <v>46</v>
      </c>
      <c r="L127" s="49" t="s">
        <v>877</v>
      </c>
      <c r="M127" s="444"/>
      <c r="N127" s="49" t="s">
        <v>76</v>
      </c>
      <c r="O127" s="49" t="s">
        <v>93</v>
      </c>
      <c r="P127" s="310"/>
      <c r="Q127" s="447"/>
      <c r="R127" s="310"/>
      <c r="S127" s="356"/>
      <c r="T127" s="310"/>
      <c r="U127" s="310"/>
      <c r="V127" s="310"/>
      <c r="W127" s="333"/>
      <c r="X127" s="310"/>
      <c r="Y127" s="310"/>
      <c r="Z127" s="310"/>
      <c r="AA127" s="310"/>
      <c r="AB127" s="310"/>
      <c r="AC127" s="310"/>
      <c r="AD127" s="310"/>
      <c r="AE127" s="310"/>
      <c r="AF127" s="49" t="s">
        <v>954</v>
      </c>
      <c r="AG127" s="49" t="s">
        <v>473</v>
      </c>
      <c r="AH127" s="49" t="s">
        <v>473</v>
      </c>
      <c r="AI127" s="49"/>
      <c r="AJ127" s="49" t="s">
        <v>737</v>
      </c>
      <c r="AK127" s="50" t="s">
        <v>737</v>
      </c>
    </row>
    <row r="128" spans="2:37" x14ac:dyDescent="0.3">
      <c r="B128" s="506"/>
      <c r="C128" s="506"/>
      <c r="D128" s="506"/>
      <c r="E128" s="506"/>
      <c r="F128" s="429"/>
      <c r="G128" s="310"/>
      <c r="H128" s="310"/>
      <c r="I128" s="310"/>
      <c r="J128" s="310"/>
      <c r="K128" s="49" t="s">
        <v>45</v>
      </c>
      <c r="L128" s="49" t="s">
        <v>876</v>
      </c>
      <c r="M128" s="444"/>
      <c r="N128" s="49" t="s">
        <v>76</v>
      </c>
      <c r="O128" s="49" t="s">
        <v>93</v>
      </c>
      <c r="P128" s="310"/>
      <c r="Q128" s="447"/>
      <c r="R128" s="310"/>
      <c r="S128" s="356"/>
      <c r="T128" s="310"/>
      <c r="U128" s="310"/>
      <c r="V128" s="310"/>
      <c r="W128" s="333"/>
      <c r="X128" s="310"/>
      <c r="Y128" s="310"/>
      <c r="Z128" s="310"/>
      <c r="AA128" s="310"/>
      <c r="AB128" s="310"/>
      <c r="AC128" s="310"/>
      <c r="AD128" s="310"/>
      <c r="AE128" s="310"/>
      <c r="AF128" s="49" t="s">
        <v>955</v>
      </c>
      <c r="AG128" s="49" t="s">
        <v>473</v>
      </c>
      <c r="AH128" s="49" t="s">
        <v>473</v>
      </c>
      <c r="AI128" s="49"/>
      <c r="AJ128" s="49" t="s">
        <v>240</v>
      </c>
      <c r="AK128" s="50" t="s">
        <v>735</v>
      </c>
    </row>
    <row r="129" spans="2:37" x14ac:dyDescent="0.3">
      <c r="B129" s="506"/>
      <c r="C129" s="506"/>
      <c r="D129" s="506"/>
      <c r="E129" s="506"/>
      <c r="F129" s="429"/>
      <c r="G129" s="310"/>
      <c r="H129" s="310"/>
      <c r="I129" s="310"/>
      <c r="J129" s="310"/>
      <c r="K129" s="49" t="s">
        <v>47</v>
      </c>
      <c r="L129" s="49" t="s">
        <v>875</v>
      </c>
      <c r="M129" s="444"/>
      <c r="N129" s="49" t="s">
        <v>76</v>
      </c>
      <c r="O129" s="49" t="s">
        <v>93</v>
      </c>
      <c r="P129" s="310"/>
      <c r="Q129" s="447"/>
      <c r="R129" s="310"/>
      <c r="S129" s="356"/>
      <c r="T129" s="310"/>
      <c r="U129" s="310"/>
      <c r="V129" s="310"/>
      <c r="W129" s="333"/>
      <c r="X129" s="310"/>
      <c r="Y129" s="310"/>
      <c r="Z129" s="310"/>
      <c r="AA129" s="310"/>
      <c r="AB129" s="310"/>
      <c r="AC129" s="310"/>
      <c r="AD129" s="310"/>
      <c r="AE129" s="310"/>
      <c r="AF129" s="49" t="s">
        <v>956</v>
      </c>
      <c r="AG129" s="49" t="s">
        <v>473</v>
      </c>
      <c r="AH129" s="49" t="s">
        <v>473</v>
      </c>
      <c r="AI129" s="49"/>
      <c r="AJ129" s="49" t="s">
        <v>525</v>
      </c>
      <c r="AK129" s="50" t="s">
        <v>730</v>
      </c>
    </row>
    <row r="130" spans="2:37" x14ac:dyDescent="0.3">
      <c r="B130" s="506"/>
      <c r="C130" s="506"/>
      <c r="D130" s="506"/>
      <c r="E130" s="506"/>
      <c r="F130" s="429"/>
      <c r="G130" s="310"/>
      <c r="H130" s="310"/>
      <c r="I130" s="310"/>
      <c r="J130" s="310"/>
      <c r="K130" s="49" t="s">
        <v>42</v>
      </c>
      <c r="L130" s="49" t="s">
        <v>874</v>
      </c>
      <c r="M130" s="444"/>
      <c r="N130" s="49" t="s">
        <v>76</v>
      </c>
      <c r="O130" s="49" t="s">
        <v>93</v>
      </c>
      <c r="P130" s="310"/>
      <c r="Q130" s="447"/>
      <c r="R130" s="310"/>
      <c r="S130" s="356"/>
      <c r="T130" s="310"/>
      <c r="U130" s="310"/>
      <c r="V130" s="310"/>
      <c r="W130" s="333"/>
      <c r="X130" s="310"/>
      <c r="Y130" s="310"/>
      <c r="Z130" s="310"/>
      <c r="AA130" s="310"/>
      <c r="AB130" s="310"/>
      <c r="AC130" s="310"/>
      <c r="AD130" s="310"/>
      <c r="AE130" s="310"/>
      <c r="AF130" s="49" t="s">
        <v>957</v>
      </c>
      <c r="AG130" s="49" t="s">
        <v>473</v>
      </c>
      <c r="AH130" s="49" t="s">
        <v>473</v>
      </c>
      <c r="AI130" s="49"/>
      <c r="AJ130" s="49" t="s">
        <v>235</v>
      </c>
      <c r="AK130" s="50" t="s">
        <v>732</v>
      </c>
    </row>
    <row r="131" spans="2:37" x14ac:dyDescent="0.3">
      <c r="B131" s="506"/>
      <c r="C131" s="506"/>
      <c r="D131" s="506"/>
      <c r="E131" s="506"/>
      <c r="F131" s="429"/>
      <c r="G131" s="310"/>
      <c r="H131" s="310"/>
      <c r="I131" s="310"/>
      <c r="J131" s="310"/>
      <c r="K131" s="49" t="s">
        <v>839</v>
      </c>
      <c r="L131" s="49" t="s">
        <v>873</v>
      </c>
      <c r="M131" s="444"/>
      <c r="N131" s="49" t="s">
        <v>76</v>
      </c>
      <c r="O131" s="49" t="s">
        <v>93</v>
      </c>
      <c r="P131" s="310"/>
      <c r="Q131" s="447"/>
      <c r="R131" s="310"/>
      <c r="S131" s="356"/>
      <c r="T131" s="310"/>
      <c r="U131" s="310"/>
      <c r="V131" s="310"/>
      <c r="W131" s="333"/>
      <c r="X131" s="310"/>
      <c r="Y131" s="310"/>
      <c r="Z131" s="310"/>
      <c r="AA131" s="310"/>
      <c r="AB131" s="310"/>
      <c r="AC131" s="310"/>
      <c r="AD131" s="310"/>
      <c r="AE131" s="310"/>
      <c r="AF131" s="49" t="s">
        <v>958</v>
      </c>
      <c r="AG131" s="49" t="s">
        <v>473</v>
      </c>
      <c r="AH131" s="49" t="s">
        <v>473</v>
      </c>
      <c r="AI131" s="49"/>
      <c r="AJ131" s="49" t="s">
        <v>285</v>
      </c>
      <c r="AK131" s="50" t="s">
        <v>739</v>
      </c>
    </row>
    <row r="132" spans="2:37" x14ac:dyDescent="0.3">
      <c r="B132" s="506"/>
      <c r="C132" s="506"/>
      <c r="D132" s="506"/>
      <c r="E132" s="506"/>
      <c r="F132" s="429"/>
      <c r="G132" s="310"/>
      <c r="H132" s="310"/>
      <c r="I132" s="310"/>
      <c r="J132" s="310"/>
      <c r="K132" s="49" t="s">
        <v>872</v>
      </c>
      <c r="L132" s="49">
        <v>116</v>
      </c>
      <c r="M132" s="444"/>
      <c r="N132" s="49" t="s">
        <v>76</v>
      </c>
      <c r="O132" s="49">
        <v>5</v>
      </c>
      <c r="P132" s="310"/>
      <c r="Q132" s="447"/>
      <c r="R132" s="310"/>
      <c r="S132" s="356"/>
      <c r="T132" s="310"/>
      <c r="U132" s="310"/>
      <c r="V132" s="310"/>
      <c r="W132" s="333"/>
      <c r="X132" s="310"/>
      <c r="Y132" s="310"/>
      <c r="Z132" s="310"/>
      <c r="AA132" s="310"/>
      <c r="AB132" s="310"/>
      <c r="AC132" s="310"/>
      <c r="AD132" s="310"/>
      <c r="AE132" s="310"/>
      <c r="AF132" s="49" t="s">
        <v>959</v>
      </c>
      <c r="AG132" s="49" t="s">
        <v>473</v>
      </c>
      <c r="AH132" s="49" t="s">
        <v>473</v>
      </c>
      <c r="AI132" s="49"/>
      <c r="AJ132" s="49" t="s">
        <v>323</v>
      </c>
      <c r="AK132" s="50" t="s">
        <v>960</v>
      </c>
    </row>
    <row r="133" spans="2:37" x14ac:dyDescent="0.3">
      <c r="B133" s="506"/>
      <c r="C133" s="506"/>
      <c r="D133" s="506"/>
      <c r="E133" s="506"/>
      <c r="F133" s="429"/>
      <c r="G133" s="310"/>
      <c r="H133" s="310"/>
      <c r="I133" s="310"/>
      <c r="J133" s="310"/>
      <c r="K133" s="49" t="s">
        <v>871</v>
      </c>
      <c r="L133" s="49">
        <v>56</v>
      </c>
      <c r="M133" s="444"/>
      <c r="N133" s="49" t="s">
        <v>76</v>
      </c>
      <c r="O133" s="49">
        <v>5</v>
      </c>
      <c r="P133" s="310"/>
      <c r="Q133" s="447"/>
      <c r="R133" s="310"/>
      <c r="S133" s="356"/>
      <c r="T133" s="310"/>
      <c r="U133" s="310"/>
      <c r="V133" s="310"/>
      <c r="W133" s="333"/>
      <c r="X133" s="310"/>
      <c r="Y133" s="310"/>
      <c r="Z133" s="310"/>
      <c r="AA133" s="310"/>
      <c r="AB133" s="310"/>
      <c r="AC133" s="310"/>
      <c r="AD133" s="310"/>
      <c r="AE133" s="310"/>
      <c r="AF133" s="49" t="s">
        <v>961</v>
      </c>
      <c r="AG133" s="49" t="s">
        <v>473</v>
      </c>
      <c r="AH133" s="49" t="s">
        <v>473</v>
      </c>
      <c r="AI133" s="49"/>
      <c r="AJ133" s="49" t="s">
        <v>630</v>
      </c>
      <c r="AK133" s="50" t="s">
        <v>962</v>
      </c>
    </row>
    <row r="134" spans="2:37" x14ac:dyDescent="0.3">
      <c r="B134" s="506"/>
      <c r="C134" s="506"/>
      <c r="D134" s="506"/>
      <c r="E134" s="506"/>
      <c r="F134" s="429"/>
      <c r="G134" s="310"/>
      <c r="H134" s="310"/>
      <c r="I134" s="310"/>
      <c r="J134" s="310"/>
      <c r="K134" s="49" t="s">
        <v>870</v>
      </c>
      <c r="L134" s="49">
        <v>128</v>
      </c>
      <c r="M134" s="444"/>
      <c r="N134" s="49" t="s">
        <v>76</v>
      </c>
      <c r="O134" s="49">
        <v>5</v>
      </c>
      <c r="P134" s="310"/>
      <c r="Q134" s="447"/>
      <c r="R134" s="310"/>
      <c r="S134" s="356"/>
      <c r="T134" s="310"/>
      <c r="U134" s="310"/>
      <c r="V134" s="310"/>
      <c r="W134" s="333"/>
      <c r="X134" s="310"/>
      <c r="Y134" s="310"/>
      <c r="Z134" s="310"/>
      <c r="AA134" s="310"/>
      <c r="AB134" s="310"/>
      <c r="AC134" s="310"/>
      <c r="AD134" s="310"/>
      <c r="AE134" s="310"/>
      <c r="AF134" s="49" t="s">
        <v>963</v>
      </c>
      <c r="AG134" s="49" t="s">
        <v>473</v>
      </c>
      <c r="AH134" s="49" t="s">
        <v>473</v>
      </c>
      <c r="AI134" s="49"/>
      <c r="AJ134" s="49" t="s">
        <v>233</v>
      </c>
      <c r="AK134" s="50" t="s">
        <v>964</v>
      </c>
    </row>
    <row r="135" spans="2:37" x14ac:dyDescent="0.3">
      <c r="B135" s="506"/>
      <c r="C135" s="506"/>
      <c r="D135" s="506"/>
      <c r="E135" s="506"/>
      <c r="F135" s="429"/>
      <c r="G135" s="310"/>
      <c r="H135" s="310"/>
      <c r="I135" s="310"/>
      <c r="J135" s="310"/>
      <c r="K135" s="49" t="s">
        <v>869</v>
      </c>
      <c r="L135" s="49">
        <v>307</v>
      </c>
      <c r="M135" s="444"/>
      <c r="N135" s="49" t="s">
        <v>76</v>
      </c>
      <c r="O135" s="49">
        <v>5</v>
      </c>
      <c r="P135" s="310"/>
      <c r="Q135" s="447"/>
      <c r="R135" s="310"/>
      <c r="S135" s="356"/>
      <c r="T135" s="310"/>
      <c r="U135" s="310"/>
      <c r="V135" s="310"/>
      <c r="W135" s="333"/>
      <c r="X135" s="310"/>
      <c r="Y135" s="310"/>
      <c r="Z135" s="310"/>
      <c r="AA135" s="310"/>
      <c r="AB135" s="310"/>
      <c r="AC135" s="310"/>
      <c r="AD135" s="310"/>
      <c r="AE135" s="310"/>
      <c r="AF135" s="49" t="s">
        <v>246</v>
      </c>
      <c r="AG135" s="49" t="s">
        <v>473</v>
      </c>
      <c r="AH135" s="49" t="s">
        <v>473</v>
      </c>
      <c r="AI135" s="49"/>
      <c r="AJ135" s="49" t="s">
        <v>965</v>
      </c>
      <c r="AK135" s="50" t="s">
        <v>966</v>
      </c>
    </row>
    <row r="136" spans="2:37" x14ac:dyDescent="0.3">
      <c r="B136" s="506"/>
      <c r="C136" s="506"/>
      <c r="D136" s="506"/>
      <c r="E136" s="506"/>
      <c r="F136" s="429"/>
      <c r="G136" s="310"/>
      <c r="H136" s="310"/>
      <c r="I136" s="310"/>
      <c r="J136" s="310"/>
      <c r="K136" s="49" t="s">
        <v>868</v>
      </c>
      <c r="L136" s="49">
        <v>298</v>
      </c>
      <c r="M136" s="444"/>
      <c r="N136" s="49" t="s">
        <v>76</v>
      </c>
      <c r="O136" s="49">
        <v>5</v>
      </c>
      <c r="P136" s="310"/>
      <c r="Q136" s="447"/>
      <c r="R136" s="310"/>
      <c r="S136" s="356"/>
      <c r="T136" s="310"/>
      <c r="U136" s="310"/>
      <c r="V136" s="310"/>
      <c r="W136" s="333"/>
      <c r="X136" s="310"/>
      <c r="Y136" s="310"/>
      <c r="Z136" s="310"/>
      <c r="AA136" s="310"/>
      <c r="AB136" s="310"/>
      <c r="AC136" s="310"/>
      <c r="AD136" s="310"/>
      <c r="AE136" s="310"/>
      <c r="AF136" s="49" t="s">
        <v>967</v>
      </c>
      <c r="AG136" s="49" t="s">
        <v>473</v>
      </c>
      <c r="AH136" s="49" t="s">
        <v>473</v>
      </c>
      <c r="AI136" s="49"/>
      <c r="AJ136" s="49" t="s">
        <v>252</v>
      </c>
      <c r="AK136" s="50" t="s">
        <v>968</v>
      </c>
    </row>
    <row r="137" spans="2:37" x14ac:dyDescent="0.3">
      <c r="B137" s="506"/>
      <c r="C137" s="506"/>
      <c r="D137" s="506"/>
      <c r="E137" s="506"/>
      <c r="F137" s="429"/>
      <c r="G137" s="310"/>
      <c r="H137" s="310"/>
      <c r="I137" s="310"/>
      <c r="J137" s="310"/>
      <c r="K137" s="49" t="s">
        <v>867</v>
      </c>
      <c r="L137" s="49">
        <v>101</v>
      </c>
      <c r="M137" s="444"/>
      <c r="N137" s="49" t="s">
        <v>76</v>
      </c>
      <c r="O137" s="49">
        <v>5</v>
      </c>
      <c r="P137" s="310"/>
      <c r="Q137" s="447"/>
      <c r="R137" s="310"/>
      <c r="S137" s="356"/>
      <c r="T137" s="310"/>
      <c r="U137" s="310"/>
      <c r="V137" s="310"/>
      <c r="W137" s="333"/>
      <c r="X137" s="310"/>
      <c r="Y137" s="310"/>
      <c r="Z137" s="310"/>
      <c r="AA137" s="310"/>
      <c r="AB137" s="310"/>
      <c r="AC137" s="310"/>
      <c r="AD137" s="310"/>
      <c r="AE137" s="310"/>
      <c r="AF137" s="49" t="s">
        <v>969</v>
      </c>
      <c r="AG137" s="49" t="s">
        <v>473</v>
      </c>
      <c r="AH137" s="49" t="s">
        <v>473</v>
      </c>
      <c r="AI137" s="49"/>
      <c r="AJ137" s="49" t="s">
        <v>970</v>
      </c>
      <c r="AK137" s="50" t="s">
        <v>784</v>
      </c>
    </row>
    <row r="138" spans="2:37" x14ac:dyDescent="0.3">
      <c r="B138" s="506"/>
      <c r="C138" s="506"/>
      <c r="D138" s="506"/>
      <c r="E138" s="506"/>
      <c r="F138" s="429"/>
      <c r="G138" s="310"/>
      <c r="H138" s="310"/>
      <c r="I138" s="310"/>
      <c r="J138" s="310"/>
      <c r="K138" s="49" t="s">
        <v>866</v>
      </c>
      <c r="L138" s="49">
        <v>291</v>
      </c>
      <c r="M138" s="444"/>
      <c r="N138" s="49" t="s">
        <v>76</v>
      </c>
      <c r="O138" s="49">
        <v>5</v>
      </c>
      <c r="P138" s="310"/>
      <c r="Q138" s="447"/>
      <c r="R138" s="310"/>
      <c r="S138" s="356"/>
      <c r="T138" s="310"/>
      <c r="U138" s="310"/>
      <c r="V138" s="310"/>
      <c r="W138" s="333"/>
      <c r="X138" s="310"/>
      <c r="Y138" s="310"/>
      <c r="Z138" s="310"/>
      <c r="AA138" s="310"/>
      <c r="AB138" s="310"/>
      <c r="AC138" s="310"/>
      <c r="AD138" s="310"/>
      <c r="AE138" s="310"/>
      <c r="AF138" s="49" t="s">
        <v>971</v>
      </c>
      <c r="AG138" s="49" t="s">
        <v>473</v>
      </c>
      <c r="AH138" s="49" t="s">
        <v>473</v>
      </c>
      <c r="AI138" s="49"/>
      <c r="AJ138" s="49" t="s">
        <v>908</v>
      </c>
      <c r="AK138" s="50" t="s">
        <v>972</v>
      </c>
    </row>
    <row r="139" spans="2:37" x14ac:dyDescent="0.3">
      <c r="B139" s="506"/>
      <c r="C139" s="506"/>
      <c r="D139" s="506"/>
      <c r="E139" s="506"/>
      <c r="F139" s="429"/>
      <c r="G139" s="310"/>
      <c r="H139" s="310"/>
      <c r="I139" s="310"/>
      <c r="J139" s="310"/>
      <c r="K139" s="49" t="s">
        <v>841</v>
      </c>
      <c r="L139" s="49" t="s">
        <v>864</v>
      </c>
      <c r="M139" s="444"/>
      <c r="N139" s="49" t="s">
        <v>76</v>
      </c>
      <c r="O139" s="49" t="s">
        <v>426</v>
      </c>
      <c r="P139" s="310"/>
      <c r="Q139" s="447"/>
      <c r="R139" s="310"/>
      <c r="S139" s="356"/>
      <c r="T139" s="310"/>
      <c r="U139" s="310"/>
      <c r="V139" s="310"/>
      <c r="W139" s="333"/>
      <c r="X139" s="310"/>
      <c r="Y139" s="310"/>
      <c r="Z139" s="310"/>
      <c r="AA139" s="310"/>
      <c r="AB139" s="310"/>
      <c r="AC139" s="310"/>
      <c r="AD139" s="310"/>
      <c r="AE139" s="310"/>
      <c r="AF139" s="49" t="s">
        <v>973</v>
      </c>
      <c r="AG139" s="49"/>
      <c r="AH139" s="49"/>
      <c r="AI139" s="49"/>
      <c r="AJ139" s="49"/>
      <c r="AK139" s="50"/>
    </row>
    <row r="140" spans="2:37" x14ac:dyDescent="0.3">
      <c r="B140" s="506"/>
      <c r="C140" s="506"/>
      <c r="D140" s="506"/>
      <c r="E140" s="506"/>
      <c r="F140" s="429"/>
      <c r="G140" s="310"/>
      <c r="H140" s="310"/>
      <c r="I140" s="310"/>
      <c r="J140" s="310"/>
      <c r="K140" s="49" t="s">
        <v>368</v>
      </c>
      <c r="L140" s="49" t="s">
        <v>865</v>
      </c>
      <c r="M140" s="444"/>
      <c r="N140" s="49" t="s">
        <v>410</v>
      </c>
      <c r="O140" s="49"/>
      <c r="P140" s="310"/>
      <c r="Q140" s="447"/>
      <c r="R140" s="310"/>
      <c r="S140" s="356"/>
      <c r="T140" s="310"/>
      <c r="U140" s="310"/>
      <c r="V140" s="310"/>
      <c r="W140" s="333"/>
      <c r="X140" s="310"/>
      <c r="Y140" s="310"/>
      <c r="Z140" s="310"/>
      <c r="AA140" s="310"/>
      <c r="AB140" s="310"/>
      <c r="AC140" s="310"/>
      <c r="AD140" s="310"/>
      <c r="AE140" s="310"/>
      <c r="AF140" s="49" t="s">
        <v>974</v>
      </c>
      <c r="AG140" s="49" t="s">
        <v>473</v>
      </c>
      <c r="AH140" s="49" t="s">
        <v>473</v>
      </c>
      <c r="AI140" s="49"/>
      <c r="AJ140" s="49" t="s">
        <v>289</v>
      </c>
      <c r="AK140" s="50" t="s">
        <v>289</v>
      </c>
    </row>
    <row r="141" spans="2:37" x14ac:dyDescent="0.3">
      <c r="B141" s="506"/>
      <c r="C141" s="506"/>
      <c r="D141" s="506"/>
      <c r="E141" s="506"/>
      <c r="F141" s="429"/>
      <c r="G141" s="310"/>
      <c r="H141" s="310"/>
      <c r="I141" s="310"/>
      <c r="J141" s="310"/>
      <c r="K141" s="49" t="s">
        <v>369</v>
      </c>
      <c r="L141" s="49" t="s">
        <v>864</v>
      </c>
      <c r="M141" s="444"/>
      <c r="N141" s="49" t="s">
        <v>411</v>
      </c>
      <c r="O141" s="49"/>
      <c r="P141" s="310"/>
      <c r="Q141" s="447"/>
      <c r="R141" s="310"/>
      <c r="S141" s="356"/>
      <c r="T141" s="310"/>
      <c r="U141" s="310"/>
      <c r="V141" s="310"/>
      <c r="W141" s="333"/>
      <c r="X141" s="310"/>
      <c r="Y141" s="310"/>
      <c r="Z141" s="310"/>
      <c r="AA141" s="310"/>
      <c r="AB141" s="310"/>
      <c r="AC141" s="310"/>
      <c r="AD141" s="310"/>
      <c r="AE141" s="310"/>
      <c r="AF141" s="49" t="s">
        <v>975</v>
      </c>
      <c r="AG141" s="49" t="s">
        <v>473</v>
      </c>
      <c r="AH141" s="49" t="s">
        <v>473</v>
      </c>
      <c r="AI141" s="49"/>
      <c r="AJ141" s="49" t="s">
        <v>289</v>
      </c>
      <c r="AK141" s="50" t="s">
        <v>289</v>
      </c>
    </row>
    <row r="142" spans="2:37" x14ac:dyDescent="0.3">
      <c r="B142" s="506"/>
      <c r="C142" s="506"/>
      <c r="D142" s="506"/>
      <c r="E142" s="506"/>
      <c r="F142" s="429"/>
      <c r="G142" s="310"/>
      <c r="H142" s="310"/>
      <c r="I142" s="310"/>
      <c r="J142" s="310"/>
      <c r="K142" s="49" t="s">
        <v>821</v>
      </c>
      <c r="L142" s="49" t="s">
        <v>863</v>
      </c>
      <c r="M142" s="444"/>
      <c r="N142" s="49" t="s">
        <v>76</v>
      </c>
      <c r="O142" s="49" t="s">
        <v>93</v>
      </c>
      <c r="P142" s="310"/>
      <c r="Q142" s="447"/>
      <c r="R142" s="310"/>
      <c r="S142" s="356"/>
      <c r="T142" s="310"/>
      <c r="U142" s="310"/>
      <c r="V142" s="310"/>
      <c r="W142" s="333"/>
      <c r="X142" s="310"/>
      <c r="Y142" s="310"/>
      <c r="Z142" s="310"/>
      <c r="AA142" s="310"/>
      <c r="AB142" s="310"/>
      <c r="AC142" s="310"/>
      <c r="AD142" s="310"/>
      <c r="AE142" s="310"/>
      <c r="AF142" s="49" t="s">
        <v>976</v>
      </c>
      <c r="AG142" s="49" t="s">
        <v>473</v>
      </c>
      <c r="AH142" s="49" t="s">
        <v>473</v>
      </c>
      <c r="AI142" s="49"/>
      <c r="AJ142" s="49" t="s">
        <v>290</v>
      </c>
      <c r="AK142" s="50" t="s">
        <v>290</v>
      </c>
    </row>
    <row r="143" spans="2:37" x14ac:dyDescent="0.3">
      <c r="B143" s="506"/>
      <c r="C143" s="506"/>
      <c r="D143" s="506"/>
      <c r="E143" s="506"/>
      <c r="F143" s="429"/>
      <c r="G143" s="310"/>
      <c r="H143" s="310"/>
      <c r="I143" s="310"/>
      <c r="J143" s="310"/>
      <c r="K143" s="49" t="s">
        <v>862</v>
      </c>
      <c r="L143" s="49" t="s">
        <v>861</v>
      </c>
      <c r="M143" s="444"/>
      <c r="N143" s="49" t="s">
        <v>76</v>
      </c>
      <c r="O143" s="49" t="s">
        <v>90</v>
      </c>
      <c r="P143" s="310"/>
      <c r="Q143" s="447"/>
      <c r="R143" s="310"/>
      <c r="S143" s="356"/>
      <c r="T143" s="310"/>
      <c r="U143" s="310"/>
      <c r="V143" s="310"/>
      <c r="W143" s="333"/>
      <c r="X143" s="310"/>
      <c r="Y143" s="310"/>
      <c r="Z143" s="310"/>
      <c r="AA143" s="310"/>
      <c r="AB143" s="310"/>
      <c r="AC143" s="310"/>
      <c r="AD143" s="310"/>
      <c r="AE143" s="310"/>
      <c r="AF143" s="49" t="s">
        <v>977</v>
      </c>
      <c r="AG143" s="49" t="s">
        <v>473</v>
      </c>
      <c r="AH143" s="49" t="s">
        <v>473</v>
      </c>
      <c r="AI143" s="49"/>
      <c r="AJ143" s="49" t="s">
        <v>290</v>
      </c>
      <c r="AK143" s="50" t="s">
        <v>290</v>
      </c>
    </row>
    <row r="144" spans="2:37" x14ac:dyDescent="0.3">
      <c r="B144" s="506"/>
      <c r="C144" s="506"/>
      <c r="D144" s="506"/>
      <c r="E144" s="506"/>
      <c r="F144" s="429"/>
      <c r="G144" s="310"/>
      <c r="H144" s="310"/>
      <c r="I144" s="310"/>
      <c r="J144" s="310"/>
      <c r="K144" s="49" t="s">
        <v>860</v>
      </c>
      <c r="L144" s="49" t="s">
        <v>859</v>
      </c>
      <c r="M144" s="444"/>
      <c r="N144" s="49" t="s">
        <v>76</v>
      </c>
      <c r="O144" s="49" t="s">
        <v>90</v>
      </c>
      <c r="P144" s="310"/>
      <c r="Q144" s="447"/>
      <c r="R144" s="310"/>
      <c r="S144" s="356"/>
      <c r="T144" s="310"/>
      <c r="U144" s="310"/>
      <c r="V144" s="310"/>
      <c r="W144" s="333"/>
      <c r="X144" s="310"/>
      <c r="Y144" s="310"/>
      <c r="Z144" s="310"/>
      <c r="AA144" s="310"/>
      <c r="AB144" s="310"/>
      <c r="AC144" s="310"/>
      <c r="AD144" s="310"/>
      <c r="AE144" s="310"/>
      <c r="AF144" s="49" t="s">
        <v>978</v>
      </c>
      <c r="AG144" s="49" t="s">
        <v>473</v>
      </c>
      <c r="AH144" s="49" t="s">
        <v>473</v>
      </c>
      <c r="AI144" s="49"/>
      <c r="AJ144" s="49" t="s">
        <v>979</v>
      </c>
      <c r="AK144" s="50" t="s">
        <v>980</v>
      </c>
    </row>
    <row r="145" spans="2:37" x14ac:dyDescent="0.3">
      <c r="B145" s="506"/>
      <c r="C145" s="506"/>
      <c r="D145" s="506"/>
      <c r="E145" s="506"/>
      <c r="F145" s="429"/>
      <c r="G145" s="310"/>
      <c r="H145" s="310"/>
      <c r="I145" s="310"/>
      <c r="J145" s="310"/>
      <c r="K145" s="49" t="s">
        <v>858</v>
      </c>
      <c r="L145" s="49" t="s">
        <v>857</v>
      </c>
      <c r="M145" s="444"/>
      <c r="N145" s="49" t="s">
        <v>76</v>
      </c>
      <c r="O145" s="49" t="s">
        <v>90</v>
      </c>
      <c r="P145" s="310"/>
      <c r="Q145" s="447"/>
      <c r="R145" s="310"/>
      <c r="S145" s="356"/>
      <c r="T145" s="310"/>
      <c r="U145" s="310"/>
      <c r="V145" s="310"/>
      <c r="W145" s="333"/>
      <c r="X145" s="310"/>
      <c r="Y145" s="310"/>
      <c r="Z145" s="310"/>
      <c r="AA145" s="310"/>
      <c r="AB145" s="310"/>
      <c r="AC145" s="310"/>
      <c r="AD145" s="310"/>
      <c r="AE145" s="310"/>
      <c r="AF145" s="49" t="s">
        <v>981</v>
      </c>
      <c r="AG145" s="49" t="s">
        <v>473</v>
      </c>
      <c r="AH145" s="49" t="s">
        <v>473</v>
      </c>
      <c r="AI145" s="49"/>
      <c r="AJ145" s="49" t="s">
        <v>982</v>
      </c>
      <c r="AK145" s="50" t="s">
        <v>279</v>
      </c>
    </row>
    <row r="146" spans="2:37" x14ac:dyDescent="0.3">
      <c r="B146" s="506"/>
      <c r="C146" s="506"/>
      <c r="D146" s="506"/>
      <c r="E146" s="506"/>
      <c r="F146" s="429"/>
      <c r="G146" s="310"/>
      <c r="H146" s="310"/>
      <c r="I146" s="310"/>
      <c r="J146" s="310"/>
      <c r="K146" s="49" t="s">
        <v>856</v>
      </c>
      <c r="L146" s="49" t="s">
        <v>855</v>
      </c>
      <c r="M146" s="444"/>
      <c r="N146" s="49" t="s">
        <v>413</v>
      </c>
      <c r="O146" s="49" t="s">
        <v>854</v>
      </c>
      <c r="P146" s="310"/>
      <c r="Q146" s="447"/>
      <c r="R146" s="310"/>
      <c r="S146" s="356"/>
      <c r="T146" s="310"/>
      <c r="U146" s="310"/>
      <c r="V146" s="310"/>
      <c r="W146" s="333"/>
      <c r="X146" s="310"/>
      <c r="Y146" s="310"/>
      <c r="Z146" s="310"/>
      <c r="AA146" s="310"/>
      <c r="AB146" s="310"/>
      <c r="AC146" s="310"/>
      <c r="AD146" s="310"/>
      <c r="AE146" s="310"/>
      <c r="AF146" s="49" t="s">
        <v>983</v>
      </c>
      <c r="AG146" s="49" t="s">
        <v>473</v>
      </c>
      <c r="AH146" s="49" t="s">
        <v>473</v>
      </c>
      <c r="AI146" s="49"/>
      <c r="AJ146" s="49" t="s">
        <v>984</v>
      </c>
      <c r="AK146" s="50" t="s">
        <v>985</v>
      </c>
    </row>
    <row r="147" spans="2:37" x14ac:dyDescent="0.3">
      <c r="B147" s="506"/>
      <c r="C147" s="506"/>
      <c r="D147" s="506"/>
      <c r="E147" s="506"/>
      <c r="F147" s="429"/>
      <c r="G147" s="310"/>
      <c r="H147" s="310"/>
      <c r="I147" s="310"/>
      <c r="J147" s="310"/>
      <c r="K147" s="49" t="s">
        <v>853</v>
      </c>
      <c r="L147" s="49">
        <v>109</v>
      </c>
      <c r="M147" s="444"/>
      <c r="N147" s="49" t="s">
        <v>76</v>
      </c>
      <c r="O147" s="49">
        <v>10</v>
      </c>
      <c r="P147" s="310"/>
      <c r="Q147" s="447"/>
      <c r="R147" s="310"/>
      <c r="S147" s="356"/>
      <c r="T147" s="310"/>
      <c r="U147" s="310"/>
      <c r="V147" s="310"/>
      <c r="W147" s="333"/>
      <c r="X147" s="310"/>
      <c r="Y147" s="310"/>
      <c r="Z147" s="310"/>
      <c r="AA147" s="310"/>
      <c r="AB147" s="310"/>
      <c r="AC147" s="310"/>
      <c r="AD147" s="310"/>
      <c r="AE147" s="310"/>
      <c r="AF147" s="49"/>
      <c r="AG147" s="49"/>
      <c r="AH147" s="49"/>
      <c r="AI147" s="49"/>
      <c r="AJ147" s="49"/>
      <c r="AK147" s="50"/>
    </row>
    <row r="148" spans="2:37" x14ac:dyDescent="0.3">
      <c r="B148" s="506"/>
      <c r="C148" s="506"/>
      <c r="D148" s="506"/>
      <c r="E148" s="506"/>
      <c r="F148" s="429"/>
      <c r="G148" s="310"/>
      <c r="H148" s="310"/>
      <c r="I148" s="310"/>
      <c r="J148" s="310"/>
      <c r="K148" s="49" t="s">
        <v>53</v>
      </c>
      <c r="L148" s="49">
        <v>28</v>
      </c>
      <c r="M148" s="444"/>
      <c r="N148" s="49" t="s">
        <v>852</v>
      </c>
      <c r="O148" s="49"/>
      <c r="P148" s="310"/>
      <c r="Q148" s="447"/>
      <c r="R148" s="310"/>
      <c r="S148" s="356"/>
      <c r="T148" s="310"/>
      <c r="U148" s="310"/>
      <c r="V148" s="310"/>
      <c r="W148" s="333"/>
      <c r="X148" s="310"/>
      <c r="Y148" s="310"/>
      <c r="Z148" s="310"/>
      <c r="AA148" s="310"/>
      <c r="AB148" s="310"/>
      <c r="AC148" s="310"/>
      <c r="AD148" s="310"/>
      <c r="AE148" s="310"/>
      <c r="AF148" s="49" t="s">
        <v>254</v>
      </c>
      <c r="AG148" s="49"/>
      <c r="AH148" s="49"/>
      <c r="AI148" s="49"/>
      <c r="AJ148" s="49"/>
      <c r="AK148" s="50"/>
    </row>
    <row r="149" spans="2:37" x14ac:dyDescent="0.3">
      <c r="B149" s="506"/>
      <c r="C149" s="506"/>
      <c r="D149" s="506"/>
      <c r="E149" s="506"/>
      <c r="F149" s="429"/>
      <c r="G149" s="310"/>
      <c r="H149" s="310"/>
      <c r="I149" s="310"/>
      <c r="J149" s="310"/>
      <c r="K149" s="49" t="s">
        <v>810</v>
      </c>
      <c r="L149" s="49">
        <v>75</v>
      </c>
      <c r="M149" s="444"/>
      <c r="N149" s="49" t="s">
        <v>851</v>
      </c>
      <c r="O149" s="49"/>
      <c r="P149" s="310"/>
      <c r="Q149" s="447"/>
      <c r="R149" s="310"/>
      <c r="S149" s="356"/>
      <c r="T149" s="310"/>
      <c r="U149" s="310"/>
      <c r="V149" s="310"/>
      <c r="W149" s="333"/>
      <c r="X149" s="310"/>
      <c r="Y149" s="310"/>
      <c r="Z149" s="310"/>
      <c r="AA149" s="310"/>
      <c r="AB149" s="310"/>
      <c r="AC149" s="310"/>
      <c r="AD149" s="310"/>
      <c r="AE149" s="310"/>
      <c r="AF149" s="49" t="s">
        <v>986</v>
      </c>
      <c r="AG149" s="49"/>
      <c r="AH149" s="49"/>
      <c r="AI149" s="49"/>
      <c r="AJ149" s="49"/>
      <c r="AK149" s="50"/>
    </row>
    <row r="150" spans="2:37" x14ac:dyDescent="0.3">
      <c r="B150" s="506"/>
      <c r="C150" s="506"/>
      <c r="D150" s="506"/>
      <c r="E150" s="506"/>
      <c r="F150" s="429"/>
      <c r="G150" s="310"/>
      <c r="H150" s="310"/>
      <c r="I150" s="310"/>
      <c r="J150" s="310"/>
      <c r="K150" s="49" t="s">
        <v>54</v>
      </c>
      <c r="L150" s="49">
        <v>6</v>
      </c>
      <c r="M150" s="444"/>
      <c r="N150" s="49" t="s">
        <v>850</v>
      </c>
      <c r="O150" s="49"/>
      <c r="P150" s="310"/>
      <c r="Q150" s="447"/>
      <c r="R150" s="310"/>
      <c r="S150" s="356"/>
      <c r="T150" s="310"/>
      <c r="U150" s="310"/>
      <c r="V150" s="310"/>
      <c r="W150" s="333"/>
      <c r="X150" s="310"/>
      <c r="Y150" s="310"/>
      <c r="Z150" s="310"/>
      <c r="AA150" s="310"/>
      <c r="AB150" s="310"/>
      <c r="AC150" s="310"/>
      <c r="AD150" s="310"/>
      <c r="AE150" s="310"/>
      <c r="AF150" s="49" t="s">
        <v>987</v>
      </c>
      <c r="AG150" s="49"/>
      <c r="AH150" s="49"/>
      <c r="AI150" s="49"/>
      <c r="AJ150" s="49"/>
      <c r="AK150" s="50"/>
    </row>
    <row r="151" spans="2:37" x14ac:dyDescent="0.3">
      <c r="B151" s="506"/>
      <c r="C151" s="506"/>
      <c r="D151" s="506"/>
      <c r="E151" s="506"/>
      <c r="F151" s="429"/>
      <c r="G151" s="310"/>
      <c r="H151" s="310"/>
      <c r="I151" s="310"/>
      <c r="J151" s="310"/>
      <c r="K151" s="49" t="s">
        <v>844</v>
      </c>
      <c r="L151" s="49">
        <v>9165</v>
      </c>
      <c r="M151" s="444"/>
      <c r="N151" s="49" t="s">
        <v>76</v>
      </c>
      <c r="O151" s="49">
        <v>50</v>
      </c>
      <c r="P151" s="310"/>
      <c r="Q151" s="447"/>
      <c r="R151" s="310"/>
      <c r="S151" s="356"/>
      <c r="T151" s="310"/>
      <c r="U151" s="310"/>
      <c r="V151" s="310"/>
      <c r="W151" s="333"/>
      <c r="X151" s="310"/>
      <c r="Y151" s="310"/>
      <c r="Z151" s="310"/>
      <c r="AA151" s="310"/>
      <c r="AB151" s="310"/>
      <c r="AC151" s="310"/>
      <c r="AD151" s="310"/>
      <c r="AE151" s="310"/>
      <c r="AF151" s="49"/>
      <c r="AG151" s="49"/>
      <c r="AH151" s="49"/>
      <c r="AI151" s="49"/>
      <c r="AJ151" s="49"/>
      <c r="AK151" s="50"/>
    </row>
    <row r="152" spans="2:37" x14ac:dyDescent="0.3">
      <c r="B152" s="506"/>
      <c r="C152" s="506"/>
      <c r="D152" s="506"/>
      <c r="E152" s="506"/>
      <c r="F152" s="429"/>
      <c r="G152" s="310"/>
      <c r="H152" s="310"/>
      <c r="I152" s="310"/>
      <c r="J152" s="310"/>
      <c r="K152" s="49" t="s">
        <v>50</v>
      </c>
      <c r="L152" s="49">
        <v>3002</v>
      </c>
      <c r="M152" s="444"/>
      <c r="N152" s="49" t="s">
        <v>849</v>
      </c>
      <c r="O152" s="49"/>
      <c r="P152" s="310"/>
      <c r="Q152" s="447"/>
      <c r="R152" s="310"/>
      <c r="S152" s="356"/>
      <c r="T152" s="310"/>
      <c r="U152" s="310"/>
      <c r="V152" s="310"/>
      <c r="W152" s="333"/>
      <c r="X152" s="310"/>
      <c r="Y152" s="310"/>
      <c r="Z152" s="310"/>
      <c r="AA152" s="310"/>
      <c r="AB152" s="310"/>
      <c r="AC152" s="310"/>
      <c r="AD152" s="310"/>
      <c r="AE152" s="310"/>
      <c r="AF152" s="49" t="s">
        <v>987</v>
      </c>
      <c r="AG152" s="49"/>
      <c r="AH152" s="49"/>
      <c r="AI152" s="49"/>
      <c r="AJ152" s="49"/>
      <c r="AK152" s="50"/>
    </row>
    <row r="153" spans="2:37" x14ac:dyDescent="0.3">
      <c r="B153" s="506"/>
      <c r="C153" s="506"/>
      <c r="D153" s="506"/>
      <c r="E153" s="506"/>
      <c r="F153" s="429"/>
      <c r="G153" s="310"/>
      <c r="H153" s="310"/>
      <c r="I153" s="310"/>
      <c r="J153" s="310"/>
      <c r="K153" s="49" t="s">
        <v>51</v>
      </c>
      <c r="L153" s="49">
        <v>5372</v>
      </c>
      <c r="M153" s="444"/>
      <c r="N153" s="49" t="s">
        <v>848</v>
      </c>
      <c r="O153" s="49"/>
      <c r="P153" s="310"/>
      <c r="Q153" s="447"/>
      <c r="R153" s="310"/>
      <c r="S153" s="356"/>
      <c r="T153" s="310"/>
      <c r="U153" s="310"/>
      <c r="V153" s="310"/>
      <c r="W153" s="333"/>
      <c r="X153" s="310"/>
      <c r="Y153" s="310"/>
      <c r="Z153" s="310"/>
      <c r="AA153" s="310"/>
      <c r="AB153" s="310"/>
      <c r="AC153" s="310"/>
      <c r="AD153" s="310"/>
      <c r="AE153" s="310"/>
      <c r="AF153" s="49" t="s">
        <v>988</v>
      </c>
      <c r="AG153" s="49"/>
      <c r="AH153" s="49"/>
      <c r="AI153" s="49"/>
      <c r="AJ153" s="49"/>
      <c r="AK153" s="50"/>
    </row>
    <row r="154" spans="2:37" x14ac:dyDescent="0.3">
      <c r="B154" s="506"/>
      <c r="C154" s="506"/>
      <c r="D154" s="506"/>
      <c r="E154" s="506"/>
      <c r="F154" s="429"/>
      <c r="G154" s="310"/>
      <c r="H154" s="310"/>
      <c r="I154" s="310"/>
      <c r="J154" s="310"/>
      <c r="K154" s="49" t="s">
        <v>52</v>
      </c>
      <c r="L154" s="49">
        <v>790</v>
      </c>
      <c r="M154" s="444"/>
      <c r="N154" s="49" t="s">
        <v>847</v>
      </c>
      <c r="O154" s="49"/>
      <c r="P154" s="310"/>
      <c r="Q154" s="447"/>
      <c r="R154" s="310"/>
      <c r="S154" s="356"/>
      <c r="T154" s="310"/>
      <c r="U154" s="310"/>
      <c r="V154" s="310"/>
      <c r="W154" s="333"/>
      <c r="X154" s="310"/>
      <c r="Y154" s="310"/>
      <c r="Z154" s="310"/>
      <c r="AA154" s="310"/>
      <c r="AB154" s="310"/>
      <c r="AC154" s="310"/>
      <c r="AD154" s="310"/>
      <c r="AE154" s="310"/>
      <c r="AF154" s="49" t="s">
        <v>989</v>
      </c>
      <c r="AG154" s="49"/>
      <c r="AH154" s="49"/>
      <c r="AI154" s="49"/>
      <c r="AJ154" s="49"/>
      <c r="AK154" s="50"/>
    </row>
    <row r="155" spans="2:37" ht="15" thickBot="1" x14ac:dyDescent="0.35">
      <c r="B155" s="506"/>
      <c r="C155" s="506"/>
      <c r="D155" s="506"/>
      <c r="E155" s="506"/>
      <c r="F155" s="430"/>
      <c r="G155" s="311"/>
      <c r="H155" s="310"/>
      <c r="I155" s="310"/>
      <c r="J155" s="311"/>
      <c r="K155" s="64" t="s">
        <v>846</v>
      </c>
      <c r="L155" s="51"/>
      <c r="M155" s="445"/>
      <c r="N155" s="51"/>
      <c r="O155" s="51"/>
      <c r="P155" s="311"/>
      <c r="Q155" s="448"/>
      <c r="R155" s="311"/>
      <c r="S155" s="357"/>
      <c r="T155" s="311"/>
      <c r="U155" s="311"/>
      <c r="V155" s="311"/>
      <c r="W155" s="334"/>
      <c r="X155" s="311"/>
      <c r="Y155" s="311"/>
      <c r="Z155" s="311"/>
      <c r="AA155" s="311"/>
      <c r="AB155" s="311"/>
      <c r="AC155" s="311"/>
      <c r="AD155" s="311"/>
      <c r="AE155" s="311"/>
      <c r="AF155" s="52" t="s">
        <v>990</v>
      </c>
      <c r="AG155" s="52" t="s">
        <v>473</v>
      </c>
      <c r="AH155" s="52" t="s">
        <v>473</v>
      </c>
      <c r="AI155" s="52"/>
      <c r="AJ155" s="52" t="s">
        <v>559</v>
      </c>
      <c r="AK155" s="53" t="s">
        <v>900</v>
      </c>
    </row>
    <row r="156" spans="2:37" x14ac:dyDescent="0.3">
      <c r="AD156" s="1"/>
      <c r="AE156" s="1"/>
    </row>
    <row r="157" spans="2:37" x14ac:dyDescent="0.3">
      <c r="AD157" s="1"/>
      <c r="AE157" s="215"/>
    </row>
    <row r="158" spans="2:37" x14ac:dyDescent="0.3">
      <c r="AD158" s="1"/>
      <c r="AE158" s="215"/>
    </row>
    <row r="159" spans="2:37" x14ac:dyDescent="0.3">
      <c r="AD159" s="1"/>
      <c r="AE159" s="1"/>
    </row>
    <row r="160" spans="2:37" x14ac:dyDescent="0.3">
      <c r="H160" s="1" t="s">
        <v>1129</v>
      </c>
      <c r="AD160" s="1"/>
      <c r="AE160" s="1"/>
    </row>
    <row r="180" spans="40:66" x14ac:dyDescent="0.3">
      <c r="AN180" s="227"/>
      <c r="AO180" s="227"/>
      <c r="AP180" s="227"/>
      <c r="AQ180" s="227"/>
      <c r="AR180" s="227"/>
      <c r="AS180" s="227"/>
      <c r="AT180" s="227"/>
    </row>
    <row r="181" spans="40:66" x14ac:dyDescent="0.3">
      <c r="AN181" s="260"/>
      <c r="AO181" s="260"/>
      <c r="AP181" s="261"/>
      <c r="AQ181" s="261"/>
      <c r="AR181" s="261"/>
      <c r="AS181" s="261"/>
      <c r="AT181" s="261"/>
      <c r="AU181" s="261"/>
      <c r="AV181" s="261"/>
      <c r="AW181" s="261"/>
      <c r="AX181" s="261"/>
      <c r="AY181" s="261"/>
      <c r="AZ181" s="261"/>
      <c r="BA181" s="261"/>
      <c r="BB181" s="261"/>
      <c r="BC181" s="261"/>
      <c r="BD181" s="261"/>
      <c r="BE181" s="261"/>
      <c r="BF181" s="261"/>
      <c r="BG181" s="261"/>
      <c r="BH181" s="261"/>
      <c r="BI181" s="261"/>
      <c r="BJ181" s="261"/>
      <c r="BK181" s="261"/>
      <c r="BL181" s="261"/>
      <c r="BM181" s="261"/>
      <c r="BN181" s="261"/>
    </row>
    <row r="182" spans="40:66" x14ac:dyDescent="0.3">
      <c r="AP182" s="262" t="s">
        <v>1085</v>
      </c>
      <c r="AQ182" s="263"/>
      <c r="AR182" s="263"/>
      <c r="AS182" s="263"/>
      <c r="AT182" s="263"/>
      <c r="AU182" s="263"/>
      <c r="AV182" s="263"/>
      <c r="AW182" s="263"/>
      <c r="AX182" s="264" t="s">
        <v>22</v>
      </c>
      <c r="AY182" s="264"/>
      <c r="AZ182" s="264"/>
      <c r="BA182" s="264"/>
      <c r="BB182" s="264"/>
      <c r="BC182" s="264"/>
      <c r="BD182" s="76" t="s">
        <v>992</v>
      </c>
      <c r="BE182" s="265" t="s">
        <v>66</v>
      </c>
      <c r="BF182" s="265"/>
      <c r="BG182" s="265"/>
      <c r="BH182" s="265"/>
      <c r="BI182" s="265"/>
      <c r="BJ182" s="265"/>
      <c r="BK182" s="265"/>
      <c r="BL182" s="265"/>
      <c r="BM182" s="265"/>
      <c r="BN182" s="265"/>
    </row>
    <row r="183" spans="40:66" x14ac:dyDescent="0.3">
      <c r="AN183" s="274" t="s">
        <v>4</v>
      </c>
      <c r="AO183" s="274"/>
      <c r="AP183" s="280" t="s">
        <v>1005</v>
      </c>
      <c r="AQ183" s="280"/>
      <c r="AR183" s="280"/>
      <c r="AS183" s="280"/>
      <c r="AT183" s="237" t="s">
        <v>23</v>
      </c>
      <c r="AU183" s="238"/>
      <c r="AV183" s="238"/>
      <c r="AW183" s="239"/>
      <c r="AX183" s="240" t="s">
        <v>67</v>
      </c>
      <c r="AY183" s="241"/>
      <c r="AZ183" s="241"/>
      <c r="BA183" s="241"/>
      <c r="BB183" s="241"/>
      <c r="BC183" s="242"/>
      <c r="BD183" s="77" t="s">
        <v>1004</v>
      </c>
      <c r="BE183" s="243" t="s">
        <v>1025</v>
      </c>
      <c r="BF183" s="243"/>
      <c r="BG183" s="243"/>
      <c r="BH183" s="243"/>
      <c r="BI183" s="243"/>
      <c r="BJ183" s="243"/>
      <c r="BK183" s="243"/>
      <c r="BL183" s="243"/>
      <c r="BM183" s="243"/>
      <c r="BN183" s="243" t="s">
        <v>68</v>
      </c>
    </row>
    <row r="184" spans="40:66" x14ac:dyDescent="0.3">
      <c r="AN184" s="275"/>
      <c r="AO184" s="275"/>
      <c r="AP184" s="280" t="s">
        <v>1017</v>
      </c>
      <c r="AQ184" s="280"/>
      <c r="AR184" s="280"/>
      <c r="AS184" s="280"/>
      <c r="AT184" s="296" t="s">
        <v>69</v>
      </c>
      <c r="AU184" s="296" t="s">
        <v>1013</v>
      </c>
      <c r="AV184" s="296"/>
      <c r="AW184" s="296"/>
      <c r="AX184" s="246" t="s">
        <v>71</v>
      </c>
      <c r="AY184" s="246"/>
      <c r="AZ184" s="246" t="s">
        <v>997</v>
      </c>
      <c r="BA184" s="246"/>
      <c r="BB184" s="246" t="s">
        <v>24</v>
      </c>
      <c r="BC184" s="246"/>
      <c r="BD184" s="247" t="s">
        <v>1091</v>
      </c>
      <c r="BE184" s="243"/>
      <c r="BF184" s="243"/>
      <c r="BG184" s="243"/>
      <c r="BH184" s="243"/>
      <c r="BI184" s="243"/>
      <c r="BJ184" s="243"/>
      <c r="BK184" s="243"/>
      <c r="BL184" s="243"/>
      <c r="BM184" s="243"/>
      <c r="BN184" s="243"/>
    </row>
    <row r="185" spans="40:66" x14ac:dyDescent="0.3">
      <c r="AN185" s="275"/>
      <c r="AO185" s="275"/>
      <c r="AP185" s="280"/>
      <c r="AQ185" s="280"/>
      <c r="AR185" s="280"/>
      <c r="AS185" s="280"/>
      <c r="AT185" s="296"/>
      <c r="AU185" s="296"/>
      <c r="AV185" s="296"/>
      <c r="AW185" s="296"/>
      <c r="AX185" s="246"/>
      <c r="AY185" s="246"/>
      <c r="AZ185" s="246"/>
      <c r="BA185" s="246"/>
      <c r="BB185" s="246"/>
      <c r="BC185" s="246"/>
      <c r="BD185" s="247"/>
      <c r="BE185" s="248" t="s">
        <v>1027</v>
      </c>
      <c r="BF185" s="244" t="s">
        <v>17</v>
      </c>
      <c r="BG185" s="244"/>
      <c r="BH185" s="244" t="s">
        <v>18</v>
      </c>
      <c r="BI185" s="244"/>
      <c r="BJ185" s="244" t="s">
        <v>19</v>
      </c>
      <c r="BK185" s="244"/>
      <c r="BL185" s="244" t="s">
        <v>667</v>
      </c>
      <c r="BM185" s="244"/>
      <c r="BN185" s="243"/>
    </row>
    <row r="186" spans="40:66" ht="28.8" x14ac:dyDescent="0.3">
      <c r="AN186" s="275"/>
      <c r="AO186" s="275"/>
      <c r="AP186" s="65" t="s">
        <v>1016</v>
      </c>
      <c r="AQ186" s="65" t="s">
        <v>1074</v>
      </c>
      <c r="AR186" s="66" t="s">
        <v>73</v>
      </c>
      <c r="AS186" s="67" t="s">
        <v>1019</v>
      </c>
      <c r="AT186" s="65" t="s">
        <v>1026</v>
      </c>
      <c r="AU186" s="65" t="s">
        <v>1036</v>
      </c>
      <c r="AV186" s="65" t="s">
        <v>1021</v>
      </c>
      <c r="AW186" s="65" t="s">
        <v>1022</v>
      </c>
      <c r="AX186" s="246"/>
      <c r="AY186" s="246"/>
      <c r="AZ186" s="69" t="s">
        <v>1071</v>
      </c>
      <c r="BA186" s="69" t="s">
        <v>1072</v>
      </c>
      <c r="BB186" s="62" t="s">
        <v>1035</v>
      </c>
      <c r="BC186" s="62" t="s">
        <v>1014</v>
      </c>
      <c r="BD186" s="247"/>
      <c r="BE186" s="248"/>
      <c r="BF186" s="72" t="s">
        <v>1023</v>
      </c>
      <c r="BG186" s="72" t="s">
        <v>1024</v>
      </c>
      <c r="BH186" s="72" t="s">
        <v>1023</v>
      </c>
      <c r="BI186" s="72" t="s">
        <v>1024</v>
      </c>
      <c r="BJ186" s="72" t="s">
        <v>1023</v>
      </c>
      <c r="BK186" s="72" t="s">
        <v>1024</v>
      </c>
      <c r="BL186" s="72" t="s">
        <v>1023</v>
      </c>
      <c r="BM186" s="72" t="s">
        <v>1024</v>
      </c>
      <c r="BN186" s="74" t="s">
        <v>1048</v>
      </c>
    </row>
    <row r="187" spans="40:66" ht="28.8" x14ac:dyDescent="0.3">
      <c r="AN187" s="307" t="s">
        <v>1063</v>
      </c>
      <c r="AO187" s="307" t="s">
        <v>923</v>
      </c>
      <c r="AP187" s="245">
        <v>32</v>
      </c>
      <c r="AQ187" s="245" t="s">
        <v>1064</v>
      </c>
      <c r="AR187" s="306" t="s">
        <v>1018</v>
      </c>
      <c r="AS187" s="245" t="s">
        <v>1065</v>
      </c>
      <c r="AT187" s="66">
        <v>3</v>
      </c>
      <c r="AU187" s="245" t="s">
        <v>1073</v>
      </c>
      <c r="AV187" s="245">
        <v>3</v>
      </c>
      <c r="AW187" s="245">
        <v>1</v>
      </c>
      <c r="AX187" s="271">
        <v>2</v>
      </c>
      <c r="AY187" s="3" t="s">
        <v>1012</v>
      </c>
      <c r="AZ187" s="271" t="s">
        <v>1047</v>
      </c>
      <c r="BA187" s="3">
        <v>1</v>
      </c>
      <c r="BB187" s="271" t="s">
        <v>1061</v>
      </c>
      <c r="BC187" s="3">
        <v>1</v>
      </c>
      <c r="BD187" s="70">
        <v>13</v>
      </c>
      <c r="BE187" s="74" t="s">
        <v>1028</v>
      </c>
      <c r="BF187" s="73"/>
      <c r="BG187" s="73"/>
      <c r="BH187" s="73"/>
      <c r="BI187" s="73"/>
      <c r="BJ187" s="73"/>
      <c r="BK187" s="73"/>
      <c r="BL187" s="73" t="s">
        <v>150</v>
      </c>
      <c r="BM187" s="71" t="s">
        <v>687</v>
      </c>
      <c r="BN187" s="73">
        <v>0</v>
      </c>
    </row>
    <row r="188" spans="40:66" ht="28.8" x14ac:dyDescent="0.3">
      <c r="AN188" s="307"/>
      <c r="AO188" s="307"/>
      <c r="AP188" s="245"/>
      <c r="AQ188" s="245"/>
      <c r="AR188" s="306"/>
      <c r="AS188" s="245"/>
      <c r="AT188" s="66">
        <v>6</v>
      </c>
      <c r="AU188" s="245"/>
      <c r="AV188" s="245"/>
      <c r="AW188" s="245"/>
      <c r="AX188" s="271"/>
      <c r="AY188" s="3" t="s">
        <v>1015</v>
      </c>
      <c r="AZ188" s="271"/>
      <c r="BA188" s="3">
        <v>1</v>
      </c>
      <c r="BB188" s="271"/>
      <c r="BC188" s="3">
        <v>1</v>
      </c>
      <c r="BD188" s="70">
        <v>13</v>
      </c>
      <c r="BE188" s="74" t="s">
        <v>1028</v>
      </c>
      <c r="BF188" s="73"/>
      <c r="BG188" s="73"/>
      <c r="BH188" s="73"/>
      <c r="BI188" s="73"/>
      <c r="BJ188" s="73"/>
      <c r="BK188" s="73"/>
      <c r="BL188" s="73"/>
      <c r="BM188" s="73"/>
      <c r="BN188" s="73">
        <v>3</v>
      </c>
    </row>
    <row r="189" spans="40:66" ht="43.2" x14ac:dyDescent="0.3">
      <c r="AN189" s="307"/>
      <c r="AO189" s="2" t="s">
        <v>924</v>
      </c>
      <c r="AP189" s="66">
        <v>23</v>
      </c>
      <c r="AQ189" s="66" t="s">
        <v>1064</v>
      </c>
      <c r="AR189" s="67" t="s">
        <v>1018</v>
      </c>
      <c r="AS189" s="66" t="s">
        <v>1066</v>
      </c>
      <c r="AT189" s="66">
        <v>3</v>
      </c>
      <c r="AU189" s="66" t="s">
        <v>1075</v>
      </c>
      <c r="AV189" s="66">
        <v>9</v>
      </c>
      <c r="AW189" s="66">
        <v>1</v>
      </c>
      <c r="AX189" s="3">
        <v>1</v>
      </c>
      <c r="AY189" s="3" t="s">
        <v>1015</v>
      </c>
      <c r="AZ189" s="3" t="s">
        <v>1047</v>
      </c>
      <c r="BA189" s="3">
        <v>1</v>
      </c>
      <c r="BB189" s="3" t="s">
        <v>1062</v>
      </c>
      <c r="BC189" s="3">
        <v>1</v>
      </c>
      <c r="BD189" s="70">
        <v>13</v>
      </c>
      <c r="BE189" s="74" t="s">
        <v>1028</v>
      </c>
      <c r="BF189" s="73"/>
      <c r="BG189" s="73"/>
      <c r="BH189" s="73"/>
      <c r="BI189" s="73"/>
      <c r="BJ189" s="73"/>
      <c r="BK189" s="73"/>
      <c r="BL189" s="73"/>
      <c r="BM189" s="73"/>
      <c r="BN189" s="73">
        <v>3</v>
      </c>
    </row>
    <row r="190" spans="40:66" ht="43.2" x14ac:dyDescent="0.3">
      <c r="AN190" s="307" t="s">
        <v>1067</v>
      </c>
      <c r="AO190" s="307"/>
      <c r="AP190" s="66"/>
      <c r="AQ190" s="66" t="s">
        <v>1069</v>
      </c>
      <c r="AR190" s="67" t="s">
        <v>1018</v>
      </c>
      <c r="AS190" s="66" t="s">
        <v>1083</v>
      </c>
      <c r="AT190" s="66">
        <v>2</v>
      </c>
      <c r="AU190" s="66" t="s">
        <v>1073</v>
      </c>
      <c r="AV190" s="66">
        <v>3</v>
      </c>
      <c r="AW190" s="66">
        <v>1</v>
      </c>
      <c r="AX190" s="3">
        <v>1</v>
      </c>
      <c r="AY190" s="3" t="s">
        <v>1012</v>
      </c>
      <c r="AZ190" s="3" t="s">
        <v>1047</v>
      </c>
      <c r="BA190" s="3">
        <v>2</v>
      </c>
      <c r="BB190" s="3" t="s">
        <v>1070</v>
      </c>
      <c r="BC190" s="3">
        <v>1</v>
      </c>
      <c r="BD190" s="70">
        <v>13</v>
      </c>
      <c r="BE190" s="74" t="s">
        <v>1028</v>
      </c>
      <c r="BF190" s="73"/>
      <c r="BG190" s="73"/>
      <c r="BH190" s="73"/>
      <c r="BI190" s="73"/>
      <c r="BJ190" s="73"/>
      <c r="BK190" s="73"/>
      <c r="BL190" s="71" t="s">
        <v>830</v>
      </c>
      <c r="BM190" s="71" t="s">
        <v>832</v>
      </c>
      <c r="BN190" s="73">
        <v>0</v>
      </c>
    </row>
    <row r="191" spans="40:66" ht="28.8" x14ac:dyDescent="0.3">
      <c r="AN191" s="307" t="s">
        <v>1079</v>
      </c>
      <c r="AO191" s="307" t="s">
        <v>923</v>
      </c>
      <c r="AP191" s="245">
        <v>19</v>
      </c>
      <c r="AQ191" s="245" t="s">
        <v>1077</v>
      </c>
      <c r="AR191" s="306" t="s">
        <v>1018</v>
      </c>
      <c r="AS191" s="245" t="s">
        <v>1082</v>
      </c>
      <c r="AT191" s="66">
        <v>3</v>
      </c>
      <c r="AU191" s="245" t="s">
        <v>1076</v>
      </c>
      <c r="AV191" s="245">
        <v>3</v>
      </c>
      <c r="AW191" s="245">
        <v>1</v>
      </c>
      <c r="AX191" s="271">
        <v>2</v>
      </c>
      <c r="AY191" s="3" t="s">
        <v>1012</v>
      </c>
      <c r="AZ191" s="3" t="s">
        <v>1047</v>
      </c>
      <c r="BA191" s="3">
        <v>1</v>
      </c>
      <c r="BB191" s="3" t="s">
        <v>1061</v>
      </c>
      <c r="BC191" s="3">
        <v>1</v>
      </c>
      <c r="BD191" s="70">
        <v>13</v>
      </c>
      <c r="BE191" s="74" t="s">
        <v>1028</v>
      </c>
      <c r="BF191" s="73"/>
      <c r="BG191" s="73"/>
      <c r="BH191" s="73"/>
      <c r="BI191" s="73"/>
      <c r="BJ191" s="73"/>
      <c r="BK191" s="73"/>
      <c r="BL191" s="73"/>
      <c r="BM191" s="73"/>
      <c r="BN191" s="73">
        <v>0</v>
      </c>
    </row>
    <row r="192" spans="40:66" ht="28.8" x14ac:dyDescent="0.3">
      <c r="AN192" s="307"/>
      <c r="AO192" s="307"/>
      <c r="AP192" s="245"/>
      <c r="AQ192" s="245"/>
      <c r="AR192" s="306"/>
      <c r="AS192" s="245"/>
      <c r="AT192" s="66">
        <v>6</v>
      </c>
      <c r="AU192" s="245"/>
      <c r="AV192" s="245"/>
      <c r="AW192" s="245"/>
      <c r="AX192" s="271"/>
      <c r="AY192" s="3" t="s">
        <v>1015</v>
      </c>
      <c r="AZ192" s="3" t="s">
        <v>1047</v>
      </c>
      <c r="BA192" s="3">
        <v>1</v>
      </c>
      <c r="BB192" s="3" t="s">
        <v>1062</v>
      </c>
      <c r="BC192" s="3">
        <v>1</v>
      </c>
      <c r="BD192" s="70">
        <v>13</v>
      </c>
      <c r="BE192" s="74" t="s">
        <v>1028</v>
      </c>
      <c r="BF192" s="244" t="s">
        <v>1081</v>
      </c>
      <c r="BG192" s="244"/>
      <c r="BH192" s="244"/>
      <c r="BI192" s="244"/>
      <c r="BJ192" s="244"/>
      <c r="BK192" s="244"/>
      <c r="BL192" s="244"/>
      <c r="BM192" s="244"/>
      <c r="BN192" s="73">
        <v>3</v>
      </c>
    </row>
    <row r="193" spans="40:66" ht="28.8" x14ac:dyDescent="0.3">
      <c r="AN193" s="307"/>
      <c r="AO193" s="2" t="s">
        <v>1080</v>
      </c>
      <c r="AP193" s="66">
        <v>1</v>
      </c>
      <c r="AQ193" s="66" t="s">
        <v>1077</v>
      </c>
      <c r="AR193" s="306" t="s">
        <v>1018</v>
      </c>
      <c r="AS193" s="68">
        <v>46023</v>
      </c>
      <c r="AT193" s="66">
        <v>3</v>
      </c>
      <c r="AU193" s="66" t="s">
        <v>1076</v>
      </c>
      <c r="AV193" s="66">
        <v>3</v>
      </c>
      <c r="AW193" s="66">
        <v>1</v>
      </c>
      <c r="AX193" s="3">
        <v>1</v>
      </c>
      <c r="AY193" s="3" t="s">
        <v>1012</v>
      </c>
      <c r="AZ193" s="3" t="s">
        <v>1047</v>
      </c>
      <c r="BA193" s="3">
        <v>1</v>
      </c>
      <c r="BB193" s="3" t="s">
        <v>1070</v>
      </c>
      <c r="BC193" s="3">
        <v>1</v>
      </c>
      <c r="BD193" s="70">
        <v>13</v>
      </c>
      <c r="BE193" s="74" t="s">
        <v>1028</v>
      </c>
      <c r="BF193" s="73"/>
      <c r="BG193" s="73"/>
      <c r="BH193" s="73"/>
      <c r="BI193" s="73"/>
      <c r="BJ193" s="73"/>
      <c r="BK193" s="73"/>
      <c r="BL193" s="73" t="s">
        <v>889</v>
      </c>
      <c r="BM193" s="71" t="s">
        <v>888</v>
      </c>
      <c r="BN193" s="73">
        <v>0</v>
      </c>
    </row>
    <row r="194" spans="40:66" ht="28.8" x14ac:dyDescent="0.3">
      <c r="AN194" s="307"/>
      <c r="AO194" s="2" t="s">
        <v>924</v>
      </c>
      <c r="AP194" s="66">
        <v>45</v>
      </c>
      <c r="AQ194" s="66" t="s">
        <v>1077</v>
      </c>
      <c r="AR194" s="306"/>
      <c r="AS194" s="66" t="s">
        <v>1084</v>
      </c>
      <c r="AT194" s="66">
        <v>6</v>
      </c>
      <c r="AU194" s="66" t="s">
        <v>1076</v>
      </c>
      <c r="AV194" s="66">
        <v>9</v>
      </c>
      <c r="AW194" s="66">
        <v>1</v>
      </c>
      <c r="AX194" s="3">
        <v>1</v>
      </c>
      <c r="AY194" s="3" t="s">
        <v>1015</v>
      </c>
      <c r="AZ194" s="3" t="s">
        <v>1047</v>
      </c>
      <c r="BA194" s="3">
        <v>1</v>
      </c>
      <c r="BB194" s="3" t="s">
        <v>1062</v>
      </c>
      <c r="BC194" s="3">
        <v>1</v>
      </c>
      <c r="BD194" s="70">
        <v>13</v>
      </c>
      <c r="BE194" s="74" t="s">
        <v>1028</v>
      </c>
      <c r="BF194" s="73"/>
      <c r="BG194" s="73"/>
      <c r="BH194" s="73"/>
      <c r="BI194" s="73"/>
      <c r="BJ194" s="73"/>
      <c r="BK194" s="73"/>
      <c r="BL194" s="73"/>
      <c r="BM194" s="73"/>
      <c r="BN194" s="73">
        <v>3</v>
      </c>
    </row>
  </sheetData>
  <mergeCells count="223">
    <mergeCell ref="G106:G109"/>
    <mergeCell ref="G110:G155"/>
    <mergeCell ref="B4:Q4"/>
    <mergeCell ref="P110:P155"/>
    <mergeCell ref="Q110:Q155"/>
    <mergeCell ref="B6:B8"/>
    <mergeCell ref="C6:C8"/>
    <mergeCell ref="D6:D8"/>
    <mergeCell ref="E6:E8"/>
    <mergeCell ref="F106:F109"/>
    <mergeCell ref="F110:F155"/>
    <mergeCell ref="J9:J41"/>
    <mergeCell ref="O7:O8"/>
    <mergeCell ref="P7:P8"/>
    <mergeCell ref="Q7:Q8"/>
    <mergeCell ref="F66:G85"/>
    <mergeCell ref="B5:E5"/>
    <mergeCell ref="F6:G8"/>
    <mergeCell ref="B9:B155"/>
    <mergeCell ref="C9:C155"/>
    <mergeCell ref="D9:D155"/>
    <mergeCell ref="F5:Q5"/>
    <mergeCell ref="J42:J65"/>
    <mergeCell ref="J66:J85"/>
    <mergeCell ref="F86:F105"/>
    <mergeCell ref="U106:U109"/>
    <mergeCell ref="W66:W85"/>
    <mergeCell ref="R5:V5"/>
    <mergeCell ref="U110:U155"/>
    <mergeCell ref="V110:V155"/>
    <mergeCell ref="V106:V109"/>
    <mergeCell ref="W106:W109"/>
    <mergeCell ref="S9:S25"/>
    <mergeCell ref="U66:U85"/>
    <mergeCell ref="V66:V85"/>
    <mergeCell ref="R6:R8"/>
    <mergeCell ref="V86:V105"/>
    <mergeCell ref="S66:S85"/>
    <mergeCell ref="T66:T85"/>
    <mergeCell ref="S6:S8"/>
    <mergeCell ref="V7:V8"/>
    <mergeCell ref="R110:R155"/>
    <mergeCell ref="S110:S155"/>
    <mergeCell ref="T110:T155"/>
    <mergeCell ref="J86:J105"/>
    <mergeCell ref="M42:M65"/>
    <mergeCell ref="P42:P65"/>
    <mergeCell ref="Q42:Q65"/>
    <mergeCell ref="U2:AD2"/>
    <mergeCell ref="Z7:AA7"/>
    <mergeCell ref="AB7:AC7"/>
    <mergeCell ref="AD7:AE7"/>
    <mergeCell ref="AG7:AI7"/>
    <mergeCell ref="AJ7:AK7"/>
    <mergeCell ref="H6:I8"/>
    <mergeCell ref="L7:M7"/>
    <mergeCell ref="N7:N8"/>
    <mergeCell ref="J6:J8"/>
    <mergeCell ref="K6:K8"/>
    <mergeCell ref="L6:O6"/>
    <mergeCell ref="P6:Q6"/>
    <mergeCell ref="R4:V4"/>
    <mergeCell ref="X4:AK4"/>
    <mergeCell ref="W86:W105"/>
    <mergeCell ref="W110:W155"/>
    <mergeCell ref="R42:R65"/>
    <mergeCell ref="S42:S65"/>
    <mergeCell ref="T42:T65"/>
    <mergeCell ref="U42:U65"/>
    <mergeCell ref="V42:V65"/>
    <mergeCell ref="W42:W65"/>
    <mergeCell ref="R66:R85"/>
    <mergeCell ref="U9:U41"/>
    <mergeCell ref="W9:W41"/>
    <mergeCell ref="S26:S41"/>
    <mergeCell ref="R9:R41"/>
    <mergeCell ref="AO21:AP21"/>
    <mergeCell ref="AO22:AO25"/>
    <mergeCell ref="AP22:AP23"/>
    <mergeCell ref="X9:AC41"/>
    <mergeCell ref="X7:Y7"/>
    <mergeCell ref="W6:W8"/>
    <mergeCell ref="X5:AE6"/>
    <mergeCell ref="AF5:AK6"/>
    <mergeCell ref="V9:V41"/>
    <mergeCell ref="AP18:AP19"/>
    <mergeCell ref="T6:V6"/>
    <mergeCell ref="T7:U7"/>
    <mergeCell ref="AD8:AE8"/>
    <mergeCell ref="X86:AE105"/>
    <mergeCell ref="X106:AC109"/>
    <mergeCell ref="AF106:AK109"/>
    <mergeCell ref="AO14:AP17"/>
    <mergeCell ref="AS24:AS25"/>
    <mergeCell ref="AP184:AS185"/>
    <mergeCell ref="AT184:AT185"/>
    <mergeCell ref="AU184:AW185"/>
    <mergeCell ref="AP182:AW182"/>
    <mergeCell ref="X66:AC85"/>
    <mergeCell ref="X110:AE155"/>
    <mergeCell ref="AR22:AR23"/>
    <mergeCell ref="AF66:AK85"/>
    <mergeCell ref="X42:AE65"/>
    <mergeCell ref="AN183:AO186"/>
    <mergeCell ref="AP183:AS183"/>
    <mergeCell ref="AN180:AT180"/>
    <mergeCell ref="AN181:BN181"/>
    <mergeCell ref="AQ22:AQ23"/>
    <mergeCell ref="AS22:AS23"/>
    <mergeCell ref="AT22:AT23"/>
    <mergeCell ref="AW22:AW23"/>
    <mergeCell ref="AX22:AX23"/>
    <mergeCell ref="AV22:AV23"/>
    <mergeCell ref="AX18:AX19"/>
    <mergeCell ref="AT183:AW183"/>
    <mergeCell ref="BN183:BN185"/>
    <mergeCell ref="AY22:AY23"/>
    <mergeCell ref="BG23:BN23"/>
    <mergeCell ref="AY18:AY19"/>
    <mergeCell ref="BA18:BA19"/>
    <mergeCell ref="BC18:BC19"/>
    <mergeCell ref="BE185:BE186"/>
    <mergeCell ref="BF185:BG185"/>
    <mergeCell ref="BH185:BI185"/>
    <mergeCell ref="BJ185:BK185"/>
    <mergeCell ref="BL185:BM185"/>
    <mergeCell ref="BB184:BC185"/>
    <mergeCell ref="AX184:AY186"/>
    <mergeCell ref="AZ184:BA185"/>
    <mergeCell ref="AX182:BC182"/>
    <mergeCell ref="BE182:BN182"/>
    <mergeCell ref="AX183:BC183"/>
    <mergeCell ref="BD184:BD186"/>
    <mergeCell ref="BE183:BM184"/>
    <mergeCell ref="AW187:AW188"/>
    <mergeCell ref="AX187:AX188"/>
    <mergeCell ref="AZ187:AZ188"/>
    <mergeCell ref="BB187:BB188"/>
    <mergeCell ref="AN190:AO190"/>
    <mergeCell ref="AO187:AO188"/>
    <mergeCell ref="AP187:AP188"/>
    <mergeCell ref="AQ187:AQ188"/>
    <mergeCell ref="AR187:AR188"/>
    <mergeCell ref="AS187:AS188"/>
    <mergeCell ref="AV187:AV188"/>
    <mergeCell ref="AU187:AU188"/>
    <mergeCell ref="AN187:AN189"/>
    <mergeCell ref="AW191:AW192"/>
    <mergeCell ref="AX191:AX192"/>
    <mergeCell ref="BF192:BM192"/>
    <mergeCell ref="AR193:AR194"/>
    <mergeCell ref="AN191:AN194"/>
    <mergeCell ref="AO191:AO192"/>
    <mergeCell ref="AP191:AP192"/>
    <mergeCell ref="AQ191:AQ192"/>
    <mergeCell ref="AR191:AR192"/>
    <mergeCell ref="AS191:AS192"/>
    <mergeCell ref="AU191:AU192"/>
    <mergeCell ref="AV191:AV192"/>
    <mergeCell ref="H9:H65"/>
    <mergeCell ref="T9:T41"/>
    <mergeCell ref="H66:I85"/>
    <mergeCell ref="H110:I155"/>
    <mergeCell ref="H86:I105"/>
    <mergeCell ref="P9:P25"/>
    <mergeCell ref="Q9:Q41"/>
    <mergeCell ref="P96:P105"/>
    <mergeCell ref="M110:M155"/>
    <mergeCell ref="H106:I109"/>
    <mergeCell ref="S96:S105"/>
    <mergeCell ref="M106:M109"/>
    <mergeCell ref="P106:P109"/>
    <mergeCell ref="Q86:Q105"/>
    <mergeCell ref="R86:R105"/>
    <mergeCell ref="S86:S95"/>
    <mergeCell ref="M86:M105"/>
    <mergeCell ref="P86:P95"/>
    <mergeCell ref="J106:J109"/>
    <mergeCell ref="J110:J155"/>
    <mergeCell ref="M66:M85"/>
    <mergeCell ref="P66:P85"/>
    <mergeCell ref="Q66:Q85"/>
    <mergeCell ref="E9:E155"/>
    <mergeCell ref="P26:P41"/>
    <mergeCell ref="M9:M41"/>
    <mergeCell ref="AQ18:AQ19"/>
    <mergeCell ref="AR18:AR19"/>
    <mergeCell ref="AS18:AS19"/>
    <mergeCell ref="AT18:AT19"/>
    <mergeCell ref="AV18:AV19"/>
    <mergeCell ref="AW18:AW19"/>
    <mergeCell ref="I42:I65"/>
    <mergeCell ref="AO11:AU11"/>
    <mergeCell ref="AO12:BO12"/>
    <mergeCell ref="AQ13:AX13"/>
    <mergeCell ref="AY13:BD13"/>
    <mergeCell ref="BF13:BO13"/>
    <mergeCell ref="I9:I41"/>
    <mergeCell ref="AO18:AO20"/>
    <mergeCell ref="T86:T105"/>
    <mergeCell ref="U86:U105"/>
    <mergeCell ref="Q106:Q109"/>
    <mergeCell ref="R106:R109"/>
    <mergeCell ref="S106:S109"/>
    <mergeCell ref="T106:T109"/>
    <mergeCell ref="G86:G105"/>
    <mergeCell ref="BO14:BO16"/>
    <mergeCell ref="AQ15:AT16"/>
    <mergeCell ref="AU15:AU16"/>
    <mergeCell ref="AV15:AX16"/>
    <mergeCell ref="AY15:AZ17"/>
    <mergeCell ref="BA15:BB16"/>
    <mergeCell ref="BC15:BD16"/>
    <mergeCell ref="BE15:BE17"/>
    <mergeCell ref="BF16:BF17"/>
    <mergeCell ref="BG16:BH16"/>
    <mergeCell ref="AQ14:AT14"/>
    <mergeCell ref="BM16:BN16"/>
    <mergeCell ref="BK16:BL16"/>
    <mergeCell ref="AU14:AX14"/>
    <mergeCell ref="AY14:BD14"/>
    <mergeCell ref="BF14:BN15"/>
    <mergeCell ref="BI16:BJ1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D2260-3994-47C4-9B67-22A9BBBEC355}">
  <sheetPr>
    <tabColor rgb="FFFFC000"/>
  </sheetPr>
  <dimension ref="C2:BS83"/>
  <sheetViews>
    <sheetView topLeftCell="W7" zoomScale="60" zoomScaleNormal="60" workbookViewId="0">
      <selection activeCell="AD20" sqref="AD20"/>
    </sheetView>
  </sheetViews>
  <sheetFormatPr defaultColWidth="8.88671875" defaultRowHeight="14.4" x14ac:dyDescent="0.3"/>
  <cols>
    <col min="1" max="1" width="8.88671875" style="1"/>
    <col min="2" max="2" width="4.109375" style="1" customWidth="1"/>
    <col min="3" max="3" width="8.88671875" style="1" hidden="1" customWidth="1"/>
    <col min="4" max="4" width="31.88671875" style="1" customWidth="1"/>
    <col min="5" max="5" width="27.44140625" style="1" bestFit="1" customWidth="1"/>
    <col min="6" max="6" width="43.33203125" style="1" bestFit="1" customWidth="1"/>
    <col min="7" max="7" width="36.6640625" style="1" bestFit="1" customWidth="1"/>
    <col min="8" max="8" width="15.109375" style="1" customWidth="1"/>
    <col min="9" max="10" width="27.6640625" style="1" customWidth="1"/>
    <col min="11" max="12" width="59.6640625" style="1" customWidth="1"/>
    <col min="13" max="13" width="15.88671875" style="1" bestFit="1" customWidth="1"/>
    <col min="14" max="14" width="16.88671875" style="1" bestFit="1" customWidth="1"/>
    <col min="15" max="15" width="27" style="1" bestFit="1" customWidth="1"/>
    <col min="16" max="16" width="35.88671875" style="1" bestFit="1" customWidth="1"/>
    <col min="17" max="21" width="12.5546875" style="1" customWidth="1"/>
    <col min="22" max="22" width="10.33203125" style="1" bestFit="1" customWidth="1"/>
    <col min="23" max="23" width="10.6640625" style="1" customWidth="1"/>
    <col min="24" max="24" width="18.109375" style="1" customWidth="1"/>
    <col min="25" max="25" width="54.5546875" style="1" customWidth="1"/>
    <col min="26" max="26" width="17.88671875" style="1" customWidth="1"/>
    <col min="27" max="28" width="20.109375" style="1" customWidth="1"/>
    <col min="29" max="29" width="20.44140625" style="1" customWidth="1"/>
    <col min="30" max="30" width="19.33203125" style="1" customWidth="1"/>
    <col min="31" max="32" width="8.88671875" style="1"/>
    <col min="33" max="33" width="12.6640625" style="1" customWidth="1"/>
    <col min="34" max="34" width="12.33203125" style="1" bestFit="1" customWidth="1"/>
    <col min="35" max="35" width="18.6640625" style="1" bestFit="1" customWidth="1"/>
    <col min="36" max="36" width="11.5546875" style="1" bestFit="1" customWidth="1"/>
    <col min="37" max="37" width="24.33203125" style="1" bestFit="1" customWidth="1"/>
    <col min="38" max="38" width="24.33203125" style="1" customWidth="1"/>
    <col min="39" max="39" width="24" style="1" bestFit="1" customWidth="1"/>
    <col min="40" max="40" width="18.6640625" style="1" customWidth="1"/>
    <col min="41" max="42" width="19.88671875" style="1" customWidth="1"/>
    <col min="43" max="43" width="30.6640625" style="1" bestFit="1" customWidth="1"/>
    <col min="44" max="44" width="30.6640625" style="1" customWidth="1"/>
    <col min="45" max="45" width="37.33203125" style="1" bestFit="1" customWidth="1"/>
    <col min="46" max="47" width="37.33203125" style="1" customWidth="1"/>
    <col min="48" max="48" width="31.6640625" style="1" bestFit="1" customWidth="1"/>
    <col min="49" max="49" width="31.6640625" style="1" customWidth="1"/>
    <col min="50" max="50" width="16.109375" style="1" customWidth="1"/>
    <col min="51" max="51" width="15.109375" style="1" bestFit="1" customWidth="1"/>
    <col min="52" max="52" width="28.109375" style="1" bestFit="1" customWidth="1"/>
    <col min="53" max="53" width="17.33203125" style="1" bestFit="1" customWidth="1"/>
    <col min="54" max="54" width="17.44140625" style="1" customWidth="1"/>
    <col min="55" max="62" width="8.88671875" style="1"/>
    <col min="63" max="63" width="81.44140625" style="1" bestFit="1" customWidth="1"/>
    <col min="64" max="16384" width="8.88671875" style="1"/>
  </cols>
  <sheetData>
    <row r="2" spans="4:71" x14ac:dyDescent="0.3">
      <c r="N2" s="227"/>
      <c r="O2" s="227"/>
      <c r="P2" s="227"/>
      <c r="Q2" s="227"/>
      <c r="R2" s="227"/>
      <c r="S2" s="227"/>
      <c r="T2" s="227"/>
      <c r="U2" s="227"/>
      <c r="V2" s="227"/>
      <c r="W2" s="227"/>
    </row>
    <row r="3" spans="4:71" x14ac:dyDescent="0.3">
      <c r="AG3" s="156"/>
      <c r="AH3" s="156"/>
      <c r="AI3" s="156"/>
      <c r="AJ3" s="156"/>
      <c r="AK3" s="151"/>
      <c r="AL3" s="151"/>
      <c r="AM3" s="151"/>
      <c r="AN3" s="151"/>
      <c r="AO3" s="151"/>
      <c r="AP3" s="151"/>
      <c r="AQ3" s="151"/>
      <c r="AR3" s="155"/>
      <c r="AS3" s="155"/>
      <c r="AT3" s="155"/>
      <c r="AU3" s="155"/>
      <c r="AV3" s="155"/>
      <c r="AW3" s="155"/>
      <c r="AX3" s="155"/>
      <c r="AY3" s="155"/>
      <c r="AZ3" s="155"/>
      <c r="BA3" s="155"/>
      <c r="BB3" s="155"/>
      <c r="BC3" s="155"/>
      <c r="BD3" s="155"/>
      <c r="BE3" s="155"/>
      <c r="BF3" s="155"/>
      <c r="BG3" s="155"/>
      <c r="BH3" s="155"/>
      <c r="BI3" s="155"/>
      <c r="BJ3" s="155"/>
      <c r="BK3" s="155"/>
    </row>
    <row r="4" spans="4:71" ht="22.95" customHeight="1" x14ac:dyDescent="0.3">
      <c r="D4" s="258" t="s">
        <v>1085</v>
      </c>
      <c r="E4" s="258"/>
      <c r="F4" s="258"/>
      <c r="G4" s="258"/>
      <c r="H4" s="258"/>
      <c r="I4" s="259"/>
      <c r="J4" s="154"/>
      <c r="K4" s="228" t="s">
        <v>22</v>
      </c>
      <c r="L4" s="228"/>
      <c r="M4" s="229"/>
      <c r="N4" s="229"/>
      <c r="O4" s="229"/>
      <c r="P4" s="75" t="s">
        <v>992</v>
      </c>
      <c r="Q4" s="229" t="s">
        <v>66</v>
      </c>
      <c r="R4" s="229"/>
      <c r="S4" s="229"/>
      <c r="T4" s="229"/>
      <c r="U4" s="229"/>
      <c r="V4" s="229"/>
      <c r="W4" s="229"/>
      <c r="X4" s="229"/>
      <c r="Y4" s="229"/>
      <c r="Z4" s="229"/>
      <c r="AA4" s="229"/>
      <c r="AB4" s="229"/>
      <c r="AC4" s="229"/>
      <c r="AD4" s="229"/>
      <c r="AN4" s="230"/>
      <c r="AO4" s="230"/>
      <c r="AP4" s="230"/>
      <c r="AQ4" s="230"/>
      <c r="AR4" s="230"/>
      <c r="AS4" s="230"/>
      <c r="AT4" s="230"/>
      <c r="AU4" s="230"/>
      <c r="AV4" s="230"/>
      <c r="AW4" s="230"/>
      <c r="AX4" s="230"/>
      <c r="AY4" s="230"/>
      <c r="AZ4" s="230"/>
      <c r="BA4" s="87"/>
      <c r="BB4" s="230"/>
      <c r="BC4" s="230"/>
      <c r="BD4" s="230"/>
      <c r="BE4" s="230"/>
      <c r="BF4" s="230"/>
      <c r="BG4" s="230"/>
      <c r="BH4" s="230"/>
      <c r="BI4" s="230"/>
      <c r="BJ4" s="230"/>
      <c r="BK4" s="230"/>
    </row>
    <row r="5" spans="4:71" ht="22.95" customHeight="1" thickBot="1" x14ac:dyDescent="0.35">
      <c r="D5" s="236" t="s">
        <v>1119</v>
      </c>
      <c r="E5" s="236"/>
      <c r="F5" s="236"/>
      <c r="G5" s="236"/>
      <c r="H5" s="290" t="s">
        <v>1192</v>
      </c>
      <c r="I5" s="291"/>
      <c r="J5" s="291"/>
      <c r="K5" s="291"/>
      <c r="L5" s="291"/>
      <c r="M5" s="291"/>
      <c r="N5" s="291"/>
      <c r="O5" s="291"/>
      <c r="P5" s="291"/>
      <c r="Q5" s="291"/>
      <c r="R5" s="292"/>
      <c r="S5" s="256" t="s">
        <v>67</v>
      </c>
      <c r="T5" s="256"/>
      <c r="U5" s="256"/>
      <c r="V5" s="256"/>
      <c r="W5" s="256"/>
      <c r="X5" s="86" t="s">
        <v>1006</v>
      </c>
      <c r="Y5" s="236" t="s">
        <v>429</v>
      </c>
      <c r="Z5" s="236"/>
      <c r="AA5" s="236"/>
      <c r="AB5" s="236"/>
      <c r="AC5" s="236"/>
      <c r="AD5" s="236"/>
      <c r="AE5" s="236"/>
      <c r="AF5" s="236"/>
      <c r="AG5" s="236" t="s">
        <v>68</v>
      </c>
      <c r="AH5" s="236"/>
      <c r="AI5" s="236"/>
      <c r="AJ5" s="236"/>
      <c r="AK5" s="236"/>
      <c r="AL5" s="236"/>
      <c r="BS5" s="249"/>
    </row>
    <row r="6" spans="4:71" ht="37.200000000000003" customHeight="1" x14ac:dyDescent="0.3">
      <c r="D6" s="287" t="s">
        <v>1126</v>
      </c>
      <c r="E6" s="256" t="s">
        <v>1120</v>
      </c>
      <c r="F6" s="288" t="s">
        <v>1121</v>
      </c>
      <c r="G6" s="256" t="s">
        <v>1122</v>
      </c>
      <c r="H6" s="250" t="s">
        <v>25</v>
      </c>
      <c r="I6" s="251"/>
      <c r="J6" s="231" t="s">
        <v>1123</v>
      </c>
      <c r="K6" s="236" t="s">
        <v>20</v>
      </c>
      <c r="L6" s="256" t="s">
        <v>21</v>
      </c>
      <c r="M6" s="256"/>
      <c r="N6" s="256"/>
      <c r="O6" s="256"/>
      <c r="P6" s="236" t="s">
        <v>69</v>
      </c>
      <c r="Q6" s="236"/>
      <c r="R6" s="236" t="s">
        <v>70</v>
      </c>
      <c r="S6" s="236" t="s">
        <v>71</v>
      </c>
      <c r="T6" s="236" t="s">
        <v>997</v>
      </c>
      <c r="U6" s="236" t="s">
        <v>24</v>
      </c>
      <c r="V6" s="236"/>
      <c r="W6" s="236"/>
      <c r="X6" s="236" t="s">
        <v>1091</v>
      </c>
      <c r="Y6" s="236"/>
      <c r="Z6" s="236"/>
      <c r="AA6" s="236"/>
      <c r="AB6" s="236"/>
      <c r="AC6" s="236"/>
      <c r="AD6" s="236"/>
      <c r="AE6" s="236"/>
      <c r="AF6" s="236"/>
      <c r="AG6" s="236"/>
      <c r="AH6" s="236"/>
      <c r="AI6" s="236"/>
      <c r="AJ6" s="236"/>
      <c r="AK6" s="236"/>
      <c r="AL6" s="236"/>
      <c r="BS6" s="249"/>
    </row>
    <row r="7" spans="4:71" ht="37.200000000000003" customHeight="1" x14ac:dyDescent="0.3">
      <c r="D7" s="287"/>
      <c r="E7" s="256"/>
      <c r="F7" s="288"/>
      <c r="G7" s="256"/>
      <c r="H7" s="252"/>
      <c r="I7" s="253"/>
      <c r="J7" s="231"/>
      <c r="K7" s="236"/>
      <c r="L7" s="236" t="s">
        <v>72</v>
      </c>
      <c r="M7" s="236"/>
      <c r="N7" s="257" t="s">
        <v>73</v>
      </c>
      <c r="O7" s="236" t="s">
        <v>74</v>
      </c>
      <c r="P7" s="236" t="s">
        <v>1088</v>
      </c>
      <c r="Q7" s="236" t="s">
        <v>1087</v>
      </c>
      <c r="R7" s="236"/>
      <c r="S7" s="236"/>
      <c r="T7" s="236"/>
      <c r="U7" s="236" t="s">
        <v>1046</v>
      </c>
      <c r="V7" s="236"/>
      <c r="W7" s="256" t="s">
        <v>14</v>
      </c>
      <c r="X7" s="236"/>
      <c r="Y7" s="257" t="s">
        <v>17</v>
      </c>
      <c r="Z7" s="257"/>
      <c r="AA7" s="257" t="s">
        <v>18</v>
      </c>
      <c r="AB7" s="257"/>
      <c r="AC7" s="257" t="s">
        <v>19</v>
      </c>
      <c r="AD7" s="257"/>
      <c r="AE7" s="257" t="s">
        <v>667</v>
      </c>
      <c r="AF7" s="257"/>
      <c r="AG7" s="153" t="s">
        <v>174</v>
      </c>
      <c r="AH7" s="257" t="s">
        <v>175</v>
      </c>
      <c r="AI7" s="257"/>
      <c r="AJ7" s="257"/>
      <c r="AK7" s="257" t="s">
        <v>176</v>
      </c>
      <c r="AL7" s="257"/>
      <c r="AN7" s="260"/>
      <c r="AO7" s="260"/>
      <c r="AP7" s="261"/>
      <c r="AQ7" s="261"/>
      <c r="AR7" s="261"/>
      <c r="AS7" s="261"/>
      <c r="AT7" s="261"/>
      <c r="AU7" s="261"/>
      <c r="AV7" s="261"/>
      <c r="AW7" s="261"/>
      <c r="AX7" s="261"/>
      <c r="AY7" s="261"/>
      <c r="AZ7" s="261"/>
      <c r="BA7" s="261"/>
      <c r="BB7" s="261"/>
      <c r="BC7" s="261"/>
      <c r="BD7" s="261"/>
      <c r="BE7" s="261"/>
      <c r="BF7" s="261"/>
      <c r="BG7" s="261"/>
      <c r="BH7" s="261"/>
      <c r="BI7" s="261"/>
      <c r="BJ7" s="261"/>
      <c r="BK7" s="261"/>
      <c r="BL7" s="261"/>
      <c r="BM7" s="261"/>
      <c r="BN7" s="261"/>
      <c r="BS7" s="249"/>
    </row>
    <row r="8" spans="4:71" ht="15" thickBot="1" x14ac:dyDescent="0.35">
      <c r="D8" s="287"/>
      <c r="E8" s="256"/>
      <c r="F8" s="288"/>
      <c r="G8" s="256"/>
      <c r="H8" s="254"/>
      <c r="I8" s="255"/>
      <c r="J8" s="231"/>
      <c r="K8" s="236"/>
      <c r="L8" s="86" t="s">
        <v>1059</v>
      </c>
      <c r="M8" s="89" t="s">
        <v>1057</v>
      </c>
      <c r="N8" s="257"/>
      <c r="O8" s="236"/>
      <c r="P8" s="236"/>
      <c r="Q8" s="236"/>
      <c r="R8" s="236"/>
      <c r="S8" s="236"/>
      <c r="T8" s="236"/>
      <c r="U8" s="89" t="s">
        <v>15</v>
      </c>
      <c r="V8" s="89" t="s">
        <v>16</v>
      </c>
      <c r="W8" s="256"/>
      <c r="X8" s="236"/>
      <c r="Y8" s="86" t="s">
        <v>2</v>
      </c>
      <c r="Z8" s="86" t="s">
        <v>3</v>
      </c>
      <c r="AA8" s="86" t="s">
        <v>2</v>
      </c>
      <c r="AB8" s="86" t="s">
        <v>3</v>
      </c>
      <c r="AC8" s="86" t="s">
        <v>2</v>
      </c>
      <c r="AD8" s="86" t="s">
        <v>3</v>
      </c>
      <c r="AE8" s="86" t="s">
        <v>2</v>
      </c>
      <c r="AF8" s="86" t="s">
        <v>3</v>
      </c>
      <c r="AG8" s="86" t="s">
        <v>179</v>
      </c>
      <c r="AH8" s="86" t="s">
        <v>177</v>
      </c>
      <c r="AI8" s="86" t="s">
        <v>178</v>
      </c>
      <c r="AJ8" s="86" t="s">
        <v>1057</v>
      </c>
      <c r="AK8" s="86" t="s">
        <v>177</v>
      </c>
      <c r="AL8" s="86" t="s">
        <v>178</v>
      </c>
      <c r="AP8" s="262" t="s">
        <v>1085</v>
      </c>
      <c r="AQ8" s="263"/>
      <c r="AR8" s="263"/>
      <c r="AS8" s="263"/>
      <c r="AT8" s="263"/>
      <c r="AU8" s="263"/>
      <c r="AV8" s="263"/>
      <c r="AW8" s="263"/>
      <c r="AX8" s="264" t="s">
        <v>22</v>
      </c>
      <c r="AY8" s="264"/>
      <c r="AZ8" s="264"/>
      <c r="BA8" s="264"/>
      <c r="BB8" s="264"/>
      <c r="BC8" s="264"/>
      <c r="BD8" s="76" t="s">
        <v>992</v>
      </c>
      <c r="BE8" s="265" t="s">
        <v>66</v>
      </c>
      <c r="BF8" s="265"/>
      <c r="BG8" s="265"/>
      <c r="BH8" s="265"/>
      <c r="BI8" s="265"/>
      <c r="BJ8" s="265"/>
      <c r="BK8" s="265"/>
      <c r="BL8" s="265"/>
      <c r="BM8" s="265"/>
      <c r="BN8" s="265"/>
      <c r="BS8" s="13"/>
    </row>
    <row r="9" spans="4:71" x14ac:dyDescent="0.3">
      <c r="D9" s="266">
        <v>5</v>
      </c>
      <c r="E9" s="266" t="s">
        <v>1191</v>
      </c>
      <c r="F9" s="266" t="s">
        <v>1127</v>
      </c>
      <c r="G9" s="266" t="s">
        <v>1190</v>
      </c>
      <c r="H9" s="297" t="s">
        <v>8</v>
      </c>
      <c r="I9" s="289" t="s">
        <v>12</v>
      </c>
      <c r="J9" s="232"/>
      <c r="K9" s="59" t="s">
        <v>75</v>
      </c>
      <c r="L9" s="54">
        <v>141</v>
      </c>
      <c r="M9" s="232" t="s">
        <v>1058</v>
      </c>
      <c r="N9" s="59" t="s">
        <v>76</v>
      </c>
      <c r="O9" s="54">
        <v>29</v>
      </c>
      <c r="P9" s="268" t="s">
        <v>1030</v>
      </c>
      <c r="Q9" s="268" t="s">
        <v>845</v>
      </c>
      <c r="R9" s="269" t="s">
        <v>1037</v>
      </c>
      <c r="S9" s="268" t="s">
        <v>1089</v>
      </c>
      <c r="T9" s="268" t="s">
        <v>998</v>
      </c>
      <c r="U9" s="269" t="s">
        <v>1044</v>
      </c>
      <c r="V9" s="269" t="s">
        <v>1045</v>
      </c>
      <c r="W9" s="269" t="s">
        <v>994</v>
      </c>
      <c r="X9" s="272" t="s">
        <v>1092</v>
      </c>
      <c r="Y9" s="59" t="s">
        <v>150</v>
      </c>
      <c r="Z9" s="59" t="s">
        <v>150</v>
      </c>
      <c r="AA9" s="59" t="s">
        <v>150</v>
      </c>
      <c r="AB9" s="59" t="s">
        <v>150</v>
      </c>
      <c r="AC9" s="59" t="s">
        <v>150</v>
      </c>
      <c r="AD9" s="59" t="s">
        <v>150</v>
      </c>
      <c r="AE9" s="233" t="s">
        <v>668</v>
      </c>
      <c r="AF9" s="233"/>
      <c r="AG9" s="59" t="s">
        <v>180</v>
      </c>
      <c r="AH9" s="59" t="s">
        <v>181</v>
      </c>
      <c r="AI9" s="59" t="s">
        <v>182</v>
      </c>
      <c r="AJ9" s="232" t="s">
        <v>1058</v>
      </c>
      <c r="AK9" s="59" t="s">
        <v>183</v>
      </c>
      <c r="AL9" s="60" t="s">
        <v>184</v>
      </c>
      <c r="AN9" s="274" t="s">
        <v>4</v>
      </c>
      <c r="AO9" s="274"/>
      <c r="AP9" s="280" t="s">
        <v>1005</v>
      </c>
      <c r="AQ9" s="280"/>
      <c r="AR9" s="280"/>
      <c r="AS9" s="280"/>
      <c r="AT9" s="237" t="s">
        <v>23</v>
      </c>
      <c r="AU9" s="238"/>
      <c r="AV9" s="238"/>
      <c r="AW9" s="239"/>
      <c r="AX9" s="240" t="s">
        <v>67</v>
      </c>
      <c r="AY9" s="241"/>
      <c r="AZ9" s="241"/>
      <c r="BA9" s="241"/>
      <c r="BB9" s="241"/>
      <c r="BC9" s="242"/>
      <c r="BD9" s="77" t="s">
        <v>1004</v>
      </c>
      <c r="BE9" s="243" t="s">
        <v>1025</v>
      </c>
      <c r="BF9" s="243"/>
      <c r="BG9" s="243"/>
      <c r="BH9" s="243"/>
      <c r="BI9" s="243"/>
      <c r="BJ9" s="243"/>
      <c r="BK9" s="243"/>
      <c r="BL9" s="243"/>
      <c r="BM9" s="243"/>
      <c r="BN9" s="243" t="s">
        <v>68</v>
      </c>
    </row>
    <row r="10" spans="4:71" x14ac:dyDescent="0.3">
      <c r="D10" s="267"/>
      <c r="E10" s="267"/>
      <c r="F10" s="267"/>
      <c r="G10" s="267"/>
      <c r="H10" s="298"/>
      <c r="I10" s="271"/>
      <c r="J10" s="232"/>
      <c r="K10" s="3" t="s">
        <v>77</v>
      </c>
      <c r="L10" s="3" t="s">
        <v>78</v>
      </c>
      <c r="M10" s="232"/>
      <c r="N10" s="3" t="s">
        <v>79</v>
      </c>
      <c r="O10" s="3">
        <v>2</v>
      </c>
      <c r="P10" s="268"/>
      <c r="Q10" s="268"/>
      <c r="R10" s="270"/>
      <c r="S10" s="268"/>
      <c r="T10" s="268"/>
      <c r="U10" s="270"/>
      <c r="V10" s="270"/>
      <c r="W10" s="270"/>
      <c r="X10" s="272"/>
      <c r="Y10" s="3" t="s">
        <v>150</v>
      </c>
      <c r="Z10" s="3" t="s">
        <v>150</v>
      </c>
      <c r="AA10" s="3" t="s">
        <v>150</v>
      </c>
      <c r="AB10" s="3" t="s">
        <v>150</v>
      </c>
      <c r="AC10" s="3" t="s">
        <v>150</v>
      </c>
      <c r="AD10" s="3" t="s">
        <v>150</v>
      </c>
      <c r="AE10" s="271"/>
      <c r="AF10" s="271"/>
      <c r="AG10" s="3" t="s">
        <v>263</v>
      </c>
      <c r="AH10" s="3" t="s">
        <v>185</v>
      </c>
      <c r="AI10" s="3" t="s">
        <v>185</v>
      </c>
      <c r="AJ10" s="232"/>
      <c r="AK10" s="3" t="s">
        <v>186</v>
      </c>
      <c r="AL10" s="18" t="s">
        <v>187</v>
      </c>
      <c r="AN10" s="275"/>
      <c r="AO10" s="275"/>
      <c r="AP10" s="280" t="s">
        <v>1017</v>
      </c>
      <c r="AQ10" s="280"/>
      <c r="AR10" s="280"/>
      <c r="AS10" s="280"/>
      <c r="AT10" s="296" t="s">
        <v>69</v>
      </c>
      <c r="AU10" s="296" t="s">
        <v>1013</v>
      </c>
      <c r="AV10" s="296"/>
      <c r="AW10" s="296"/>
      <c r="AX10" s="246" t="s">
        <v>71</v>
      </c>
      <c r="AY10" s="246"/>
      <c r="AZ10" s="246" t="s">
        <v>997</v>
      </c>
      <c r="BA10" s="246"/>
      <c r="BB10" s="246" t="s">
        <v>24</v>
      </c>
      <c r="BC10" s="246"/>
      <c r="BD10" s="247" t="s">
        <v>1091</v>
      </c>
      <c r="BE10" s="243"/>
      <c r="BF10" s="243"/>
      <c r="BG10" s="243"/>
      <c r="BH10" s="243"/>
      <c r="BI10" s="243"/>
      <c r="BJ10" s="243"/>
      <c r="BK10" s="243"/>
      <c r="BL10" s="243"/>
      <c r="BM10" s="243"/>
      <c r="BN10" s="243"/>
    </row>
    <row r="11" spans="4:71" x14ac:dyDescent="0.3">
      <c r="D11" s="267"/>
      <c r="E11" s="267"/>
      <c r="F11" s="267"/>
      <c r="G11" s="267"/>
      <c r="H11" s="298"/>
      <c r="I11" s="271"/>
      <c r="J11" s="232"/>
      <c r="K11" s="3" t="s">
        <v>80</v>
      </c>
      <c r="L11" s="3">
        <v>137</v>
      </c>
      <c r="M11" s="232"/>
      <c r="N11" s="3" t="s">
        <v>76</v>
      </c>
      <c r="O11" s="3">
        <v>103</v>
      </c>
      <c r="P11" s="268"/>
      <c r="Q11" s="268"/>
      <c r="R11" s="270"/>
      <c r="S11" s="268"/>
      <c r="T11" s="268"/>
      <c r="U11" s="270"/>
      <c r="V11" s="270"/>
      <c r="W11" s="270"/>
      <c r="X11" s="272"/>
      <c r="Y11" s="3" t="s">
        <v>150</v>
      </c>
      <c r="Z11" s="3" t="s">
        <v>150</v>
      </c>
      <c r="AA11" s="3" t="s">
        <v>150</v>
      </c>
      <c r="AB11" s="3" t="s">
        <v>150</v>
      </c>
      <c r="AC11" s="3" t="s">
        <v>150</v>
      </c>
      <c r="AD11" s="3" t="s">
        <v>150</v>
      </c>
      <c r="AE11" s="271"/>
      <c r="AF11" s="271"/>
      <c r="AG11" s="3" t="s">
        <v>188</v>
      </c>
      <c r="AH11" s="3" t="s">
        <v>189</v>
      </c>
      <c r="AI11" s="3" t="s">
        <v>190</v>
      </c>
      <c r="AJ11" s="232"/>
      <c r="AK11" s="3" t="s">
        <v>191</v>
      </c>
      <c r="AL11" s="18" t="s">
        <v>192</v>
      </c>
      <c r="AN11" s="275"/>
      <c r="AO11" s="275"/>
      <c r="AP11" s="280"/>
      <c r="AQ11" s="280"/>
      <c r="AR11" s="280"/>
      <c r="AS11" s="280"/>
      <c r="AT11" s="296"/>
      <c r="AU11" s="296"/>
      <c r="AV11" s="296"/>
      <c r="AW11" s="296"/>
      <c r="AX11" s="246"/>
      <c r="AY11" s="246"/>
      <c r="AZ11" s="246"/>
      <c r="BA11" s="246"/>
      <c r="BB11" s="246"/>
      <c r="BC11" s="246"/>
      <c r="BD11" s="247"/>
      <c r="BE11" s="248" t="s">
        <v>1027</v>
      </c>
      <c r="BF11" s="244" t="s">
        <v>17</v>
      </c>
      <c r="BG11" s="244"/>
      <c r="BH11" s="244" t="s">
        <v>18</v>
      </c>
      <c r="BI11" s="244"/>
      <c r="BJ11" s="244" t="s">
        <v>19</v>
      </c>
      <c r="BK11" s="244"/>
      <c r="BL11" s="244" t="s">
        <v>667</v>
      </c>
      <c r="BM11" s="244"/>
      <c r="BN11" s="243"/>
    </row>
    <row r="12" spans="4:71" ht="28.95" customHeight="1" x14ac:dyDescent="0.3">
      <c r="D12" s="267"/>
      <c r="E12" s="267"/>
      <c r="F12" s="267"/>
      <c r="G12" s="267"/>
      <c r="H12" s="298"/>
      <c r="I12" s="271"/>
      <c r="J12" s="232"/>
      <c r="K12" s="3" t="s">
        <v>81</v>
      </c>
      <c r="L12" s="3" t="s">
        <v>82</v>
      </c>
      <c r="M12" s="232"/>
      <c r="N12" s="3" t="s">
        <v>76</v>
      </c>
      <c r="O12" s="3">
        <v>3</v>
      </c>
      <c r="P12" s="268"/>
      <c r="Q12" s="268"/>
      <c r="R12" s="270"/>
      <c r="S12" s="268"/>
      <c r="T12" s="268"/>
      <c r="U12" s="270"/>
      <c r="V12" s="270"/>
      <c r="W12" s="270"/>
      <c r="X12" s="272"/>
      <c r="Y12" s="3" t="s">
        <v>150</v>
      </c>
      <c r="Z12" s="3" t="s">
        <v>150</v>
      </c>
      <c r="AA12" s="3" t="s">
        <v>150</v>
      </c>
      <c r="AB12" s="3" t="s">
        <v>150</v>
      </c>
      <c r="AC12" s="3" t="s">
        <v>150</v>
      </c>
      <c r="AD12" s="3" t="s">
        <v>150</v>
      </c>
      <c r="AE12" s="271"/>
      <c r="AF12" s="271"/>
      <c r="AG12" s="3" t="s">
        <v>193</v>
      </c>
      <c r="AH12" s="3" t="s">
        <v>194</v>
      </c>
      <c r="AI12" s="3" t="s">
        <v>194</v>
      </c>
      <c r="AJ12" s="232"/>
      <c r="AK12" s="3" t="s">
        <v>195</v>
      </c>
      <c r="AL12" s="18" t="s">
        <v>196</v>
      </c>
      <c r="AN12" s="275"/>
      <c r="AO12" s="275"/>
      <c r="AP12" s="65" t="s">
        <v>1016</v>
      </c>
      <c r="AQ12" s="65" t="s">
        <v>1074</v>
      </c>
      <c r="AR12" s="66" t="s">
        <v>73</v>
      </c>
      <c r="AS12" s="67" t="s">
        <v>1019</v>
      </c>
      <c r="AT12" s="65" t="s">
        <v>1026</v>
      </c>
      <c r="AU12" s="65" t="s">
        <v>1036</v>
      </c>
      <c r="AV12" s="65" t="s">
        <v>1021</v>
      </c>
      <c r="AW12" s="65" t="s">
        <v>1022</v>
      </c>
      <c r="AX12" s="246"/>
      <c r="AY12" s="246"/>
      <c r="AZ12" s="69" t="s">
        <v>1071</v>
      </c>
      <c r="BA12" s="69" t="s">
        <v>1072</v>
      </c>
      <c r="BB12" s="62" t="s">
        <v>1035</v>
      </c>
      <c r="BC12" s="62" t="s">
        <v>1014</v>
      </c>
      <c r="BD12" s="247"/>
      <c r="BE12" s="248"/>
      <c r="BF12" s="72" t="s">
        <v>1023</v>
      </c>
      <c r="BG12" s="72" t="s">
        <v>1024</v>
      </c>
      <c r="BH12" s="72" t="s">
        <v>1023</v>
      </c>
      <c r="BI12" s="72" t="s">
        <v>1024</v>
      </c>
      <c r="BJ12" s="72" t="s">
        <v>1023</v>
      </c>
      <c r="BK12" s="72" t="s">
        <v>1024</v>
      </c>
      <c r="BL12" s="72" t="s">
        <v>1023</v>
      </c>
      <c r="BM12" s="72" t="s">
        <v>1024</v>
      </c>
      <c r="BN12" s="74" t="s">
        <v>1048</v>
      </c>
    </row>
    <row r="13" spans="4:71" ht="57.6" x14ac:dyDescent="0.3">
      <c r="D13" s="267"/>
      <c r="E13" s="267"/>
      <c r="F13" s="267"/>
      <c r="G13" s="267"/>
      <c r="H13" s="298"/>
      <c r="I13" s="271"/>
      <c r="J13" s="232"/>
      <c r="K13" s="3" t="s">
        <v>83</v>
      </c>
      <c r="L13" s="3" t="s">
        <v>84</v>
      </c>
      <c r="M13" s="232"/>
      <c r="N13" s="3" t="s">
        <v>76</v>
      </c>
      <c r="O13" s="3">
        <v>1</v>
      </c>
      <c r="P13" s="268"/>
      <c r="Q13" s="268"/>
      <c r="R13" s="270"/>
      <c r="S13" s="268"/>
      <c r="T13" s="268"/>
      <c r="U13" s="270"/>
      <c r="V13" s="270"/>
      <c r="W13" s="270"/>
      <c r="X13" s="272"/>
      <c r="Y13" s="3" t="s">
        <v>150</v>
      </c>
      <c r="Z13" s="3" t="s">
        <v>150</v>
      </c>
      <c r="AA13" s="3" t="s">
        <v>150</v>
      </c>
      <c r="AB13" s="3" t="s">
        <v>150</v>
      </c>
      <c r="AC13" s="3" t="s">
        <v>150</v>
      </c>
      <c r="AD13" s="3" t="s">
        <v>150</v>
      </c>
      <c r="AE13" s="271"/>
      <c r="AF13" s="271"/>
      <c r="AG13" s="3" t="s">
        <v>197</v>
      </c>
      <c r="AH13" s="3" t="s">
        <v>198</v>
      </c>
      <c r="AI13" s="3" t="s">
        <v>198</v>
      </c>
      <c r="AJ13" s="232"/>
      <c r="AK13" s="3" t="s">
        <v>198</v>
      </c>
      <c r="AL13" s="18" t="s">
        <v>198</v>
      </c>
      <c r="AN13" s="305" t="s">
        <v>8</v>
      </c>
      <c r="AO13" s="305" t="s">
        <v>12</v>
      </c>
      <c r="AP13" s="245">
        <v>31</v>
      </c>
      <c r="AQ13" s="245" t="s">
        <v>1058</v>
      </c>
      <c r="AR13" s="306" t="s">
        <v>1018</v>
      </c>
      <c r="AS13" s="245" t="s">
        <v>1020</v>
      </c>
      <c r="AT13" s="66">
        <v>3</v>
      </c>
      <c r="AU13" s="245" t="s">
        <v>1076</v>
      </c>
      <c r="AV13" s="245">
        <v>3</v>
      </c>
      <c r="AW13" s="245">
        <v>1</v>
      </c>
      <c r="AX13" s="271">
        <v>2</v>
      </c>
      <c r="AY13" s="3" t="s">
        <v>1012</v>
      </c>
      <c r="AZ13" s="3" t="s">
        <v>1047</v>
      </c>
      <c r="BA13" s="3">
        <v>1</v>
      </c>
      <c r="BB13" s="271" t="s">
        <v>1061</v>
      </c>
      <c r="BC13" s="3">
        <v>3</v>
      </c>
      <c r="BD13" s="70">
        <v>13</v>
      </c>
      <c r="BE13" s="74" t="s">
        <v>1028</v>
      </c>
      <c r="BF13" s="71" t="s">
        <v>138</v>
      </c>
      <c r="BG13" s="71" t="s">
        <v>147</v>
      </c>
      <c r="BH13" s="71" t="s">
        <v>140</v>
      </c>
      <c r="BI13" s="71" t="s">
        <v>148</v>
      </c>
      <c r="BJ13" s="71" t="s">
        <v>142</v>
      </c>
      <c r="BK13" s="71" t="s">
        <v>149</v>
      </c>
      <c r="BL13" s="73"/>
      <c r="BM13" s="73"/>
      <c r="BN13" s="73">
        <v>0</v>
      </c>
    </row>
    <row r="14" spans="4:71" ht="57.6" x14ac:dyDescent="0.3">
      <c r="D14" s="267"/>
      <c r="E14" s="267"/>
      <c r="F14" s="267"/>
      <c r="G14" s="267"/>
      <c r="H14" s="298"/>
      <c r="I14" s="271"/>
      <c r="J14" s="232"/>
      <c r="K14" s="3" t="s">
        <v>85</v>
      </c>
      <c r="L14" s="3">
        <v>138</v>
      </c>
      <c r="M14" s="232"/>
      <c r="N14" s="3" t="s">
        <v>76</v>
      </c>
      <c r="O14" s="3">
        <v>100</v>
      </c>
      <c r="P14" s="268"/>
      <c r="Q14" s="268"/>
      <c r="R14" s="270"/>
      <c r="S14" s="268"/>
      <c r="T14" s="268"/>
      <c r="U14" s="270"/>
      <c r="V14" s="270"/>
      <c r="W14" s="270"/>
      <c r="X14" s="272"/>
      <c r="Y14" s="3" t="s">
        <v>150</v>
      </c>
      <c r="Z14" s="3" t="s">
        <v>150</v>
      </c>
      <c r="AA14" s="3" t="s">
        <v>150</v>
      </c>
      <c r="AB14" s="3" t="s">
        <v>150</v>
      </c>
      <c r="AC14" s="3" t="s">
        <v>150</v>
      </c>
      <c r="AD14" s="3" t="s">
        <v>150</v>
      </c>
      <c r="AE14" s="271"/>
      <c r="AF14" s="271"/>
      <c r="AG14" s="3" t="s">
        <v>199</v>
      </c>
      <c r="AH14" s="3" t="s">
        <v>200</v>
      </c>
      <c r="AI14" s="3" t="s">
        <v>201</v>
      </c>
      <c r="AJ14" s="232"/>
      <c r="AK14" s="3" t="s">
        <v>202</v>
      </c>
      <c r="AL14" s="18" t="s">
        <v>203</v>
      </c>
      <c r="AN14" s="305"/>
      <c r="AO14" s="305"/>
      <c r="AP14" s="245"/>
      <c r="AQ14" s="245"/>
      <c r="AR14" s="306"/>
      <c r="AS14" s="245"/>
      <c r="AT14" s="66">
        <v>6</v>
      </c>
      <c r="AU14" s="245"/>
      <c r="AV14" s="245"/>
      <c r="AW14" s="245"/>
      <c r="AX14" s="271"/>
      <c r="AY14" s="3" t="s">
        <v>1015</v>
      </c>
      <c r="AZ14" s="3" t="s">
        <v>1047</v>
      </c>
      <c r="BA14" s="3">
        <v>1</v>
      </c>
      <c r="BB14" s="271"/>
      <c r="BC14" s="3">
        <v>1</v>
      </c>
      <c r="BD14" s="70">
        <v>13</v>
      </c>
      <c r="BE14" s="74" t="s">
        <v>1028</v>
      </c>
      <c r="BF14" s="73"/>
      <c r="BG14" s="73"/>
      <c r="BH14" s="73"/>
      <c r="BI14" s="73"/>
      <c r="BJ14" s="73"/>
      <c r="BK14" s="73"/>
      <c r="BL14" s="73"/>
      <c r="BM14" s="73"/>
      <c r="BN14" s="73">
        <v>3</v>
      </c>
    </row>
    <row r="15" spans="4:71" ht="28.95" customHeight="1" x14ac:dyDescent="0.3">
      <c r="D15" s="267"/>
      <c r="E15" s="267"/>
      <c r="F15" s="267"/>
      <c r="G15" s="267"/>
      <c r="H15" s="298"/>
      <c r="I15" s="271"/>
      <c r="J15" s="232"/>
      <c r="K15" s="3" t="s">
        <v>86</v>
      </c>
      <c r="L15" s="3">
        <v>253</v>
      </c>
      <c r="M15" s="232"/>
      <c r="N15" s="3" t="s">
        <v>76</v>
      </c>
      <c r="O15" s="3">
        <v>158</v>
      </c>
      <c r="P15" s="268"/>
      <c r="Q15" s="268"/>
      <c r="R15" s="270"/>
      <c r="S15" s="268"/>
      <c r="T15" s="268"/>
      <c r="U15" s="270"/>
      <c r="V15" s="270"/>
      <c r="W15" s="270"/>
      <c r="X15" s="272"/>
      <c r="Y15" s="3" t="s">
        <v>150</v>
      </c>
      <c r="Z15" s="3" t="s">
        <v>150</v>
      </c>
      <c r="AA15" s="3" t="s">
        <v>150</v>
      </c>
      <c r="AB15" s="3" t="s">
        <v>150</v>
      </c>
      <c r="AC15" s="3" t="s">
        <v>150</v>
      </c>
      <c r="AD15" s="3" t="s">
        <v>150</v>
      </c>
      <c r="AE15" s="271"/>
      <c r="AF15" s="271"/>
      <c r="AG15" s="3" t="s">
        <v>204</v>
      </c>
      <c r="AH15" s="3" t="s">
        <v>205</v>
      </c>
      <c r="AI15" s="3" t="s">
        <v>206</v>
      </c>
      <c r="AJ15" s="232"/>
      <c r="AK15" s="3" t="s">
        <v>207</v>
      </c>
      <c r="AL15" s="18" t="s">
        <v>208</v>
      </c>
      <c r="AN15" s="305"/>
      <c r="AO15" s="2" t="s">
        <v>9</v>
      </c>
      <c r="AP15" s="66">
        <v>31</v>
      </c>
      <c r="AQ15" s="66" t="s">
        <v>1058</v>
      </c>
      <c r="AR15" s="67" t="s">
        <v>1018</v>
      </c>
      <c r="AS15" s="66" t="s">
        <v>1040</v>
      </c>
      <c r="AT15" s="66">
        <v>3</v>
      </c>
      <c r="AU15" s="66" t="s">
        <v>1076</v>
      </c>
      <c r="AV15" s="66">
        <v>9</v>
      </c>
      <c r="AW15" s="66">
        <v>1</v>
      </c>
      <c r="AX15" s="3">
        <v>1</v>
      </c>
      <c r="AY15" s="3" t="s">
        <v>1015</v>
      </c>
      <c r="AZ15" s="3" t="s">
        <v>1047</v>
      </c>
      <c r="BA15" s="3">
        <v>1</v>
      </c>
      <c r="BB15" s="3" t="s">
        <v>1062</v>
      </c>
      <c r="BC15" s="3">
        <v>1</v>
      </c>
      <c r="BD15" s="70">
        <v>13</v>
      </c>
      <c r="BE15" s="74" t="s">
        <v>1028</v>
      </c>
      <c r="BF15" s="73"/>
      <c r="BG15" s="73"/>
      <c r="BH15" s="73"/>
      <c r="BI15" s="73"/>
      <c r="BJ15" s="73"/>
      <c r="BK15" s="73"/>
      <c r="BL15" s="73"/>
      <c r="BM15" s="73"/>
      <c r="BN15" s="73">
        <v>3</v>
      </c>
      <c r="BR15" s="87"/>
    </row>
    <row r="16" spans="4:71" x14ac:dyDescent="0.3">
      <c r="D16" s="267"/>
      <c r="E16" s="267"/>
      <c r="F16" s="267"/>
      <c r="G16" s="267"/>
      <c r="H16" s="298"/>
      <c r="I16" s="271"/>
      <c r="J16" s="232"/>
      <c r="K16" s="3" t="s">
        <v>87</v>
      </c>
      <c r="L16" s="3">
        <v>219</v>
      </c>
      <c r="M16" s="232"/>
      <c r="N16" s="3" t="s">
        <v>76</v>
      </c>
      <c r="O16" s="3">
        <v>100</v>
      </c>
      <c r="P16" s="268"/>
      <c r="Q16" s="268"/>
      <c r="R16" s="270"/>
      <c r="S16" s="268"/>
      <c r="T16" s="268"/>
      <c r="U16" s="270"/>
      <c r="V16" s="270"/>
      <c r="W16" s="270"/>
      <c r="X16" s="272"/>
      <c r="Y16" s="3" t="s">
        <v>150</v>
      </c>
      <c r="Z16" s="3" t="s">
        <v>150</v>
      </c>
      <c r="AA16" s="3" t="s">
        <v>150</v>
      </c>
      <c r="AB16" s="3" t="s">
        <v>150</v>
      </c>
      <c r="AC16" s="3" t="s">
        <v>150</v>
      </c>
      <c r="AD16" s="3" t="s">
        <v>150</v>
      </c>
      <c r="AE16" s="271"/>
      <c r="AF16" s="271"/>
      <c r="AG16" s="3" t="s">
        <v>209</v>
      </c>
      <c r="AH16" s="3" t="s">
        <v>210</v>
      </c>
      <c r="AI16" s="3" t="s">
        <v>211</v>
      </c>
      <c r="AJ16" s="232"/>
      <c r="AK16" s="3" t="s">
        <v>212</v>
      </c>
      <c r="AL16" s="18" t="s">
        <v>213</v>
      </c>
      <c r="AN16" s="150"/>
      <c r="AO16" s="150"/>
      <c r="AP16" s="150"/>
      <c r="AQ16" s="150"/>
      <c r="AR16" s="13"/>
      <c r="AS16" s="151"/>
      <c r="AT16" s="151"/>
      <c r="AU16" s="151"/>
      <c r="AV16" s="151"/>
      <c r="AW16" s="150"/>
      <c r="AX16" s="151"/>
      <c r="AZ16" s="151"/>
      <c r="BA16" s="151"/>
      <c r="BB16" s="151"/>
      <c r="BC16" s="151"/>
      <c r="BE16" s="151"/>
      <c r="BG16" s="151"/>
      <c r="BJ16" s="13"/>
    </row>
    <row r="17" spans="4:70" x14ac:dyDescent="0.3">
      <c r="D17" s="267"/>
      <c r="E17" s="267"/>
      <c r="F17" s="267"/>
      <c r="G17" s="267"/>
      <c r="H17" s="298"/>
      <c r="I17" s="271"/>
      <c r="J17" s="232"/>
      <c r="K17" s="3" t="s">
        <v>88</v>
      </c>
      <c r="L17" s="3" t="s">
        <v>89</v>
      </c>
      <c r="M17" s="232"/>
      <c r="N17" s="3" t="s">
        <v>76</v>
      </c>
      <c r="O17" s="3" t="s">
        <v>90</v>
      </c>
      <c r="P17" s="268"/>
      <c r="Q17" s="268"/>
      <c r="R17" s="270"/>
      <c r="S17" s="268"/>
      <c r="T17" s="268"/>
      <c r="U17" s="270"/>
      <c r="V17" s="270"/>
      <c r="W17" s="270"/>
      <c r="X17" s="272"/>
      <c r="Y17" s="3" t="s">
        <v>150</v>
      </c>
      <c r="Z17" s="3" t="s">
        <v>150</v>
      </c>
      <c r="AA17" s="3" t="s">
        <v>150</v>
      </c>
      <c r="AB17" s="3" t="s">
        <v>150</v>
      </c>
      <c r="AC17" s="3" t="s">
        <v>150</v>
      </c>
      <c r="AD17" s="3" t="s">
        <v>150</v>
      </c>
      <c r="AE17" s="271"/>
      <c r="AF17" s="271"/>
      <c r="AG17" s="3" t="s">
        <v>264</v>
      </c>
      <c r="AH17" s="3" t="s">
        <v>265</v>
      </c>
      <c r="AI17" s="3" t="s">
        <v>266</v>
      </c>
      <c r="AJ17" s="232"/>
      <c r="AK17" s="3" t="s">
        <v>214</v>
      </c>
      <c r="AL17" s="18" t="s">
        <v>215</v>
      </c>
      <c r="AN17" s="150"/>
      <c r="AO17" s="150"/>
      <c r="AP17" s="150"/>
      <c r="AQ17" s="150"/>
      <c r="AR17" s="13"/>
      <c r="AS17" s="151"/>
      <c r="AW17" s="13"/>
      <c r="BJ17" s="13"/>
    </row>
    <row r="18" spans="4:70" x14ac:dyDescent="0.3">
      <c r="D18" s="267"/>
      <c r="E18" s="267"/>
      <c r="F18" s="267"/>
      <c r="G18" s="267"/>
      <c r="H18" s="298"/>
      <c r="I18" s="271"/>
      <c r="J18" s="232"/>
      <c r="K18" s="3" t="s">
        <v>91</v>
      </c>
      <c r="L18" s="3" t="s">
        <v>92</v>
      </c>
      <c r="M18" s="232"/>
      <c r="N18" s="3" t="s">
        <v>76</v>
      </c>
      <c r="O18" s="3" t="s">
        <v>93</v>
      </c>
      <c r="P18" s="268"/>
      <c r="Q18" s="268"/>
      <c r="R18" s="270"/>
      <c r="S18" s="268"/>
      <c r="T18" s="268"/>
      <c r="U18" s="270"/>
      <c r="V18" s="270"/>
      <c r="W18" s="270"/>
      <c r="X18" s="272"/>
      <c r="Y18" s="3" t="s">
        <v>150</v>
      </c>
      <c r="Z18" s="3" t="s">
        <v>150</v>
      </c>
      <c r="AA18" s="3" t="s">
        <v>150</v>
      </c>
      <c r="AB18" s="3" t="s">
        <v>150</v>
      </c>
      <c r="AC18" s="3" t="s">
        <v>150</v>
      </c>
      <c r="AD18" s="3" t="s">
        <v>150</v>
      </c>
      <c r="AE18" s="271"/>
      <c r="AF18" s="271"/>
      <c r="AG18" s="3" t="s">
        <v>216</v>
      </c>
      <c r="AH18" s="3" t="s">
        <v>265</v>
      </c>
      <c r="AI18" s="3" t="s">
        <v>267</v>
      </c>
      <c r="AJ18" s="232"/>
      <c r="AK18" s="3" t="s">
        <v>217</v>
      </c>
      <c r="AL18" s="18" t="s">
        <v>218</v>
      </c>
      <c r="AN18" s="150"/>
      <c r="AO18" s="150"/>
      <c r="AP18" s="150"/>
      <c r="AQ18" s="150"/>
      <c r="AR18" s="13"/>
      <c r="AS18" s="151"/>
      <c r="AT18" s="151"/>
      <c r="AW18" s="13"/>
      <c r="BJ18" s="13"/>
      <c r="BQ18" s="87"/>
      <c r="BR18" s="87"/>
    </row>
    <row r="19" spans="4:70" x14ac:dyDescent="0.3">
      <c r="D19" s="267"/>
      <c r="E19" s="267"/>
      <c r="F19" s="267"/>
      <c r="G19" s="267"/>
      <c r="H19" s="298"/>
      <c r="I19" s="271"/>
      <c r="J19" s="232"/>
      <c r="K19" s="3" t="s">
        <v>94</v>
      </c>
      <c r="L19" s="3" t="s">
        <v>95</v>
      </c>
      <c r="M19" s="232"/>
      <c r="N19" s="3" t="s">
        <v>76</v>
      </c>
      <c r="O19" s="3" t="s">
        <v>90</v>
      </c>
      <c r="P19" s="268"/>
      <c r="Q19" s="268"/>
      <c r="R19" s="270"/>
      <c r="S19" s="268"/>
      <c r="T19" s="268"/>
      <c r="U19" s="270"/>
      <c r="V19" s="270"/>
      <c r="W19" s="270"/>
      <c r="X19" s="272"/>
      <c r="Y19" s="3" t="s">
        <v>150</v>
      </c>
      <c r="Z19" s="3" t="s">
        <v>150</v>
      </c>
      <c r="AA19" s="3" t="s">
        <v>150</v>
      </c>
      <c r="AB19" s="3" t="s">
        <v>150</v>
      </c>
      <c r="AC19" s="3" t="s">
        <v>150</v>
      </c>
      <c r="AD19" s="3" t="s">
        <v>150</v>
      </c>
      <c r="AE19" s="271"/>
      <c r="AF19" s="271"/>
      <c r="AG19" s="3" t="s">
        <v>219</v>
      </c>
      <c r="AH19" s="3" t="s">
        <v>220</v>
      </c>
      <c r="AI19" s="3" t="s">
        <v>268</v>
      </c>
      <c r="AJ19" s="232"/>
      <c r="AK19" s="3" t="s">
        <v>221</v>
      </c>
      <c r="AL19" s="18" t="s">
        <v>269</v>
      </c>
      <c r="AN19" s="150"/>
      <c r="AO19" s="150"/>
      <c r="AP19" s="150"/>
      <c r="AQ19" s="150"/>
      <c r="AR19" s="13"/>
      <c r="AS19" s="151"/>
      <c r="AT19" s="151"/>
      <c r="AU19" s="151"/>
      <c r="AV19" s="151"/>
      <c r="AW19" s="150"/>
      <c r="AX19" s="151"/>
      <c r="AZ19" s="151"/>
      <c r="BA19" s="151"/>
      <c r="BB19" s="151"/>
      <c r="BC19" s="151"/>
      <c r="BJ19" s="13"/>
    </row>
    <row r="20" spans="4:70" x14ac:dyDescent="0.3">
      <c r="D20" s="267"/>
      <c r="E20" s="267"/>
      <c r="F20" s="267"/>
      <c r="G20" s="267"/>
      <c r="H20" s="298"/>
      <c r="I20" s="271"/>
      <c r="J20" s="232"/>
      <c r="K20" s="3" t="s">
        <v>96</v>
      </c>
      <c r="L20" s="3" t="s">
        <v>95</v>
      </c>
      <c r="M20" s="232"/>
      <c r="N20" s="3" t="s">
        <v>76</v>
      </c>
      <c r="O20" s="3" t="s">
        <v>93</v>
      </c>
      <c r="P20" s="268"/>
      <c r="Q20" s="268"/>
      <c r="R20" s="270"/>
      <c r="S20" s="268"/>
      <c r="T20" s="268"/>
      <c r="U20" s="270"/>
      <c r="V20" s="270"/>
      <c r="W20" s="270"/>
      <c r="X20" s="272"/>
      <c r="Y20" s="3" t="s">
        <v>150</v>
      </c>
      <c r="Z20" s="3" t="s">
        <v>150</v>
      </c>
      <c r="AA20" s="3" t="s">
        <v>150</v>
      </c>
      <c r="AB20" s="3" t="s">
        <v>150</v>
      </c>
      <c r="AC20" s="3" t="s">
        <v>150</v>
      </c>
      <c r="AD20" s="3" t="s">
        <v>150</v>
      </c>
      <c r="AE20" s="271"/>
      <c r="AF20" s="271"/>
      <c r="AG20" s="3" t="s">
        <v>219</v>
      </c>
      <c r="AH20" s="3" t="s">
        <v>220</v>
      </c>
      <c r="AI20" s="3" t="s">
        <v>268</v>
      </c>
      <c r="AJ20" s="232"/>
      <c r="AK20" s="3" t="s">
        <v>270</v>
      </c>
      <c r="AL20" s="18" t="s">
        <v>271</v>
      </c>
      <c r="AN20" s="150"/>
      <c r="AO20" s="150"/>
      <c r="AP20" s="150"/>
      <c r="AQ20" s="150"/>
      <c r="AR20" s="13"/>
      <c r="AS20" s="151"/>
      <c r="AT20" s="151"/>
      <c r="AU20" s="151"/>
      <c r="AV20" s="151"/>
      <c r="AW20" s="150"/>
      <c r="AX20" s="151"/>
      <c r="AZ20" s="151"/>
      <c r="BA20" s="151"/>
      <c r="BB20" s="151"/>
      <c r="BC20" s="151"/>
      <c r="BJ20" s="13"/>
      <c r="BK20" s="151"/>
      <c r="BL20" s="151"/>
      <c r="BM20" s="151"/>
      <c r="BN20" s="151"/>
      <c r="BO20" s="151"/>
      <c r="BP20" s="151"/>
      <c r="BQ20" s="151"/>
      <c r="BR20" s="151"/>
    </row>
    <row r="21" spans="4:70" x14ac:dyDescent="0.3">
      <c r="D21" s="267"/>
      <c r="E21" s="267"/>
      <c r="F21" s="267"/>
      <c r="G21" s="267"/>
      <c r="H21" s="298"/>
      <c r="I21" s="271"/>
      <c r="J21" s="232"/>
      <c r="K21" s="3" t="s">
        <v>97</v>
      </c>
      <c r="L21" s="3" t="s">
        <v>98</v>
      </c>
      <c r="M21" s="232"/>
      <c r="N21" s="3" t="s">
        <v>76</v>
      </c>
      <c r="O21" s="3" t="s">
        <v>90</v>
      </c>
      <c r="P21" s="268"/>
      <c r="Q21" s="268"/>
      <c r="R21" s="270"/>
      <c r="S21" s="268"/>
      <c r="T21" s="268"/>
      <c r="U21" s="270"/>
      <c r="V21" s="270"/>
      <c r="W21" s="270"/>
      <c r="X21" s="272"/>
      <c r="Y21" s="3" t="s">
        <v>150</v>
      </c>
      <c r="Z21" s="3" t="s">
        <v>150</v>
      </c>
      <c r="AA21" s="3" t="s">
        <v>150</v>
      </c>
      <c r="AB21" s="3" t="s">
        <v>150</v>
      </c>
      <c r="AC21" s="3" t="s">
        <v>150</v>
      </c>
      <c r="AD21" s="3" t="s">
        <v>150</v>
      </c>
      <c r="AE21" s="271"/>
      <c r="AF21" s="271"/>
      <c r="AG21" s="3" t="s">
        <v>223</v>
      </c>
      <c r="AH21" s="3" t="s">
        <v>272</v>
      </c>
      <c r="AI21" s="3" t="s">
        <v>273</v>
      </c>
      <c r="AJ21" s="232"/>
      <c r="AK21" s="3" t="s">
        <v>224</v>
      </c>
      <c r="AL21" s="18" t="s">
        <v>274</v>
      </c>
      <c r="AN21" s="150"/>
      <c r="AO21" s="150"/>
      <c r="AP21" s="150"/>
      <c r="AQ21" s="150"/>
      <c r="AR21" s="13"/>
      <c r="AS21" s="151"/>
      <c r="AW21" s="150"/>
      <c r="AX21" s="152"/>
      <c r="BJ21" s="13"/>
      <c r="BR21" s="87"/>
    </row>
    <row r="22" spans="4:70" x14ac:dyDescent="0.3">
      <c r="D22" s="267"/>
      <c r="E22" s="267"/>
      <c r="F22" s="267"/>
      <c r="G22" s="267"/>
      <c r="H22" s="298"/>
      <c r="I22" s="271"/>
      <c r="J22" s="232"/>
      <c r="K22" s="3" t="s">
        <v>99</v>
      </c>
      <c r="L22" s="3" t="s">
        <v>100</v>
      </c>
      <c r="M22" s="232"/>
      <c r="N22" s="3" t="s">
        <v>76</v>
      </c>
      <c r="O22" s="3">
        <v>5</v>
      </c>
      <c r="P22" s="268"/>
      <c r="Q22" s="268"/>
      <c r="R22" s="270"/>
      <c r="S22" s="268"/>
      <c r="T22" s="268"/>
      <c r="U22" s="270"/>
      <c r="V22" s="270"/>
      <c r="W22" s="270"/>
      <c r="X22" s="272"/>
      <c r="Y22" s="3" t="s">
        <v>150</v>
      </c>
      <c r="Z22" s="3" t="s">
        <v>150</v>
      </c>
      <c r="AA22" s="3" t="s">
        <v>150</v>
      </c>
      <c r="AB22" s="3" t="s">
        <v>150</v>
      </c>
      <c r="AC22" s="3" t="s">
        <v>150</v>
      </c>
      <c r="AD22" s="3" t="s">
        <v>150</v>
      </c>
      <c r="AE22" s="271"/>
      <c r="AF22" s="271"/>
      <c r="AG22" s="3" t="s">
        <v>225</v>
      </c>
      <c r="AH22" s="3" t="s">
        <v>275</v>
      </c>
      <c r="AI22" s="3" t="s">
        <v>276</v>
      </c>
      <c r="AJ22" s="232"/>
      <c r="AK22" s="3" t="s">
        <v>196</v>
      </c>
      <c r="AL22" s="18" t="s">
        <v>277</v>
      </c>
      <c r="AN22" s="150"/>
      <c r="AO22" s="150"/>
      <c r="AP22" s="150"/>
      <c r="AQ22" s="150"/>
      <c r="AR22" s="13"/>
      <c r="AS22" s="151"/>
      <c r="AW22" s="150"/>
      <c r="BJ22" s="13"/>
    </row>
    <row r="23" spans="4:70" ht="14.4" customHeight="1" x14ac:dyDescent="0.3">
      <c r="D23" s="267"/>
      <c r="E23" s="267"/>
      <c r="F23" s="267"/>
      <c r="G23" s="267"/>
      <c r="H23" s="298"/>
      <c r="I23" s="271"/>
      <c r="J23" s="232"/>
      <c r="K23" s="3" t="s">
        <v>101</v>
      </c>
      <c r="L23" s="3" t="s">
        <v>102</v>
      </c>
      <c r="M23" s="232"/>
      <c r="N23" s="3" t="s">
        <v>76</v>
      </c>
      <c r="O23" s="3" t="s">
        <v>93</v>
      </c>
      <c r="P23" s="269"/>
      <c r="Q23" s="268"/>
      <c r="R23" s="270"/>
      <c r="S23" s="268"/>
      <c r="T23" s="269"/>
      <c r="U23" s="270"/>
      <c r="V23" s="270"/>
      <c r="W23" s="270"/>
      <c r="X23" s="272"/>
      <c r="Y23" s="3" t="s">
        <v>150</v>
      </c>
      <c r="Z23" s="3" t="s">
        <v>150</v>
      </c>
      <c r="AA23" s="3" t="s">
        <v>150</v>
      </c>
      <c r="AB23" s="3" t="s">
        <v>150</v>
      </c>
      <c r="AC23" s="3" t="s">
        <v>150</v>
      </c>
      <c r="AD23" s="3" t="s">
        <v>150</v>
      </c>
      <c r="AE23" s="271"/>
      <c r="AF23" s="271"/>
      <c r="AG23" s="3" t="s">
        <v>227</v>
      </c>
      <c r="AH23" s="3" t="s">
        <v>228</v>
      </c>
      <c r="AI23" s="3" t="s">
        <v>278</v>
      </c>
      <c r="AJ23" s="232"/>
      <c r="AK23" s="3" t="s">
        <v>229</v>
      </c>
      <c r="AL23" s="18" t="s">
        <v>230</v>
      </c>
    </row>
    <row r="24" spans="4:70" ht="14.4" customHeight="1" x14ac:dyDescent="0.3">
      <c r="D24" s="267"/>
      <c r="E24" s="267"/>
      <c r="F24" s="267"/>
      <c r="G24" s="267"/>
      <c r="H24" s="298"/>
      <c r="I24" s="271"/>
      <c r="J24" s="232"/>
      <c r="K24" s="3" t="s">
        <v>103</v>
      </c>
      <c r="L24" s="3" t="s">
        <v>104</v>
      </c>
      <c r="M24" s="232"/>
      <c r="N24" s="3" t="s">
        <v>76</v>
      </c>
      <c r="O24" s="3" t="s">
        <v>93</v>
      </c>
      <c r="P24" s="304" t="s">
        <v>1032</v>
      </c>
      <c r="Q24" s="268"/>
      <c r="R24" s="270"/>
      <c r="S24" s="268"/>
      <c r="T24" s="304" t="s">
        <v>999</v>
      </c>
      <c r="U24" s="270"/>
      <c r="V24" s="270"/>
      <c r="W24" s="270"/>
      <c r="X24" s="272"/>
      <c r="Y24" s="3" t="s">
        <v>150</v>
      </c>
      <c r="Z24" s="3" t="s">
        <v>150</v>
      </c>
      <c r="AA24" s="3" t="s">
        <v>150</v>
      </c>
      <c r="AB24" s="3" t="s">
        <v>150</v>
      </c>
      <c r="AC24" s="3" t="s">
        <v>150</v>
      </c>
      <c r="AD24" s="3" t="s">
        <v>150</v>
      </c>
      <c r="AE24" s="271"/>
      <c r="AF24" s="271"/>
      <c r="AG24" s="3" t="s">
        <v>231</v>
      </c>
      <c r="AH24" s="3" t="s">
        <v>237</v>
      </c>
      <c r="AI24" s="3" t="s">
        <v>237</v>
      </c>
      <c r="AJ24" s="232"/>
      <c r="AK24" s="3" t="s">
        <v>291</v>
      </c>
      <c r="AL24" s="18" t="s">
        <v>292</v>
      </c>
    </row>
    <row r="25" spans="4:70" ht="14.4" customHeight="1" x14ac:dyDescent="0.3">
      <c r="D25" s="267"/>
      <c r="E25" s="267"/>
      <c r="F25" s="267"/>
      <c r="G25" s="267"/>
      <c r="H25" s="298"/>
      <c r="I25" s="271"/>
      <c r="J25" s="232"/>
      <c r="K25" s="3" t="s">
        <v>105</v>
      </c>
      <c r="L25" s="3" t="s">
        <v>106</v>
      </c>
      <c r="M25" s="232"/>
      <c r="N25" s="3" t="s">
        <v>76</v>
      </c>
      <c r="O25" s="3" t="s">
        <v>93</v>
      </c>
      <c r="P25" s="268"/>
      <c r="Q25" s="268"/>
      <c r="R25" s="270"/>
      <c r="S25" s="268"/>
      <c r="T25" s="268"/>
      <c r="U25" s="270"/>
      <c r="V25" s="270"/>
      <c r="W25" s="270"/>
      <c r="X25" s="272"/>
      <c r="Y25" s="3" t="s">
        <v>150</v>
      </c>
      <c r="Z25" s="3" t="s">
        <v>150</v>
      </c>
      <c r="AA25" s="3" t="s">
        <v>150</v>
      </c>
      <c r="AB25" s="3" t="s">
        <v>150</v>
      </c>
      <c r="AC25" s="3" t="s">
        <v>150</v>
      </c>
      <c r="AD25" s="3" t="s">
        <v>150</v>
      </c>
      <c r="AE25" s="271"/>
      <c r="AF25" s="271"/>
      <c r="AG25" s="3" t="s">
        <v>232</v>
      </c>
      <c r="AH25" s="3" t="s">
        <v>233</v>
      </c>
      <c r="AI25" s="3" t="s">
        <v>234</v>
      </c>
      <c r="AJ25" s="232"/>
      <c r="AK25" s="3" t="s">
        <v>235</v>
      </c>
      <c r="AL25" s="18" t="s">
        <v>236</v>
      </c>
    </row>
    <row r="26" spans="4:70" ht="14.4" customHeight="1" x14ac:dyDescent="0.3">
      <c r="D26" s="267"/>
      <c r="E26" s="267"/>
      <c r="F26" s="267"/>
      <c r="G26" s="267"/>
      <c r="H26" s="298"/>
      <c r="I26" s="271"/>
      <c r="J26" s="232"/>
      <c r="K26" s="3" t="s">
        <v>107</v>
      </c>
      <c r="L26" s="3" t="s">
        <v>108</v>
      </c>
      <c r="M26" s="232"/>
      <c r="N26" s="3" t="s">
        <v>76</v>
      </c>
      <c r="O26" s="3" t="s">
        <v>93</v>
      </c>
      <c r="P26" s="268"/>
      <c r="Q26" s="268"/>
      <c r="R26" s="270"/>
      <c r="S26" s="268"/>
      <c r="T26" s="268"/>
      <c r="U26" s="270"/>
      <c r="V26" s="270"/>
      <c r="W26" s="270"/>
      <c r="X26" s="272"/>
      <c r="Y26" s="3" t="s">
        <v>150</v>
      </c>
      <c r="Z26" s="3" t="s">
        <v>150</v>
      </c>
      <c r="AA26" s="3" t="s">
        <v>150</v>
      </c>
      <c r="AB26" s="3" t="s">
        <v>150</v>
      </c>
      <c r="AC26" s="3" t="s">
        <v>150</v>
      </c>
      <c r="AD26" s="3" t="s">
        <v>150</v>
      </c>
      <c r="AE26" s="271"/>
      <c r="AF26" s="271"/>
      <c r="AG26" s="3" t="s">
        <v>279</v>
      </c>
      <c r="AH26" s="3" t="s">
        <v>237</v>
      </c>
      <c r="AI26" s="3" t="s">
        <v>237</v>
      </c>
      <c r="AJ26" s="232"/>
      <c r="AK26" s="3" t="s">
        <v>238</v>
      </c>
      <c r="AL26" s="18" t="s">
        <v>239</v>
      </c>
    </row>
    <row r="27" spans="4:70" ht="14.4" customHeight="1" x14ac:dyDescent="0.3">
      <c r="D27" s="267"/>
      <c r="E27" s="267"/>
      <c r="F27" s="267"/>
      <c r="G27" s="267"/>
      <c r="H27" s="298"/>
      <c r="I27" s="271"/>
      <c r="J27" s="232"/>
      <c r="K27" s="3" t="s">
        <v>109</v>
      </c>
      <c r="L27" s="3" t="s">
        <v>110</v>
      </c>
      <c r="M27" s="232"/>
      <c r="N27" s="3" t="s">
        <v>76</v>
      </c>
      <c r="O27" s="3" t="s">
        <v>93</v>
      </c>
      <c r="P27" s="268"/>
      <c r="Q27" s="268"/>
      <c r="R27" s="270"/>
      <c r="S27" s="268"/>
      <c r="T27" s="268"/>
      <c r="U27" s="270"/>
      <c r="V27" s="270"/>
      <c r="W27" s="270"/>
      <c r="X27" s="272"/>
      <c r="Y27" s="3" t="s">
        <v>150</v>
      </c>
      <c r="Z27" s="3" t="s">
        <v>150</v>
      </c>
      <c r="AA27" s="3" t="s">
        <v>150</v>
      </c>
      <c r="AB27" s="3" t="s">
        <v>150</v>
      </c>
      <c r="AC27" s="3" t="s">
        <v>150</v>
      </c>
      <c r="AD27" s="3" t="s">
        <v>150</v>
      </c>
      <c r="AE27" s="271"/>
      <c r="AF27" s="271"/>
      <c r="AG27" s="3" t="s">
        <v>280</v>
      </c>
      <c r="AH27" s="3" t="s">
        <v>237</v>
      </c>
      <c r="AI27" s="3" t="s">
        <v>237</v>
      </c>
      <c r="AJ27" s="232"/>
      <c r="AK27" s="3" t="s">
        <v>240</v>
      </c>
      <c r="AL27" s="18" t="s">
        <v>281</v>
      </c>
    </row>
    <row r="28" spans="4:70" ht="14.4" customHeight="1" x14ac:dyDescent="0.3">
      <c r="D28" s="267"/>
      <c r="E28" s="267"/>
      <c r="F28" s="267"/>
      <c r="G28" s="267"/>
      <c r="H28" s="298"/>
      <c r="I28" s="271"/>
      <c r="J28" s="232"/>
      <c r="K28" s="3" t="s">
        <v>111</v>
      </c>
      <c r="L28" s="3" t="s">
        <v>112</v>
      </c>
      <c r="M28" s="232"/>
      <c r="N28" s="3" t="s">
        <v>76</v>
      </c>
      <c r="O28" s="3">
        <v>5</v>
      </c>
      <c r="P28" s="268"/>
      <c r="Q28" s="268"/>
      <c r="R28" s="270"/>
      <c r="S28" s="268"/>
      <c r="T28" s="268"/>
      <c r="U28" s="270"/>
      <c r="V28" s="270"/>
      <c r="W28" s="270"/>
      <c r="X28" s="272"/>
      <c r="Y28" s="3" t="s">
        <v>150</v>
      </c>
      <c r="Z28" s="3" t="s">
        <v>150</v>
      </c>
      <c r="AA28" s="3" t="s">
        <v>150</v>
      </c>
      <c r="AB28" s="3" t="s">
        <v>150</v>
      </c>
      <c r="AC28" s="3" t="s">
        <v>150</v>
      </c>
      <c r="AD28" s="3" t="s">
        <v>150</v>
      </c>
      <c r="AE28" s="271"/>
      <c r="AF28" s="271"/>
      <c r="AG28" s="3" t="s">
        <v>282</v>
      </c>
      <c r="AH28" s="3" t="s">
        <v>237</v>
      </c>
      <c r="AI28" s="3" t="s">
        <v>237</v>
      </c>
      <c r="AJ28" s="232"/>
      <c r="AK28" s="3" t="s">
        <v>283</v>
      </c>
      <c r="AL28" s="18" t="s">
        <v>283</v>
      </c>
      <c r="AN28" s="1" t="s">
        <v>1237</v>
      </c>
      <c r="AO28" s="1" t="s">
        <v>3</v>
      </c>
    </row>
    <row r="29" spans="4:70" ht="14.4" customHeight="1" x14ac:dyDescent="0.3">
      <c r="D29" s="267"/>
      <c r="E29" s="267"/>
      <c r="F29" s="267"/>
      <c r="G29" s="267"/>
      <c r="H29" s="298"/>
      <c r="I29" s="271"/>
      <c r="J29" s="232"/>
      <c r="K29" s="3" t="s">
        <v>113</v>
      </c>
      <c r="L29" s="3" t="s">
        <v>114</v>
      </c>
      <c r="M29" s="232"/>
      <c r="N29" s="3" t="s">
        <v>76</v>
      </c>
      <c r="O29" s="3">
        <v>5</v>
      </c>
      <c r="P29" s="268"/>
      <c r="Q29" s="268"/>
      <c r="R29" s="270"/>
      <c r="S29" s="268"/>
      <c r="T29" s="268"/>
      <c r="U29" s="270"/>
      <c r="V29" s="270"/>
      <c r="W29" s="270"/>
      <c r="X29" s="272"/>
      <c r="Y29" s="3" t="s">
        <v>150</v>
      </c>
      <c r="Z29" s="3" t="s">
        <v>150</v>
      </c>
      <c r="AA29" s="3" t="s">
        <v>150</v>
      </c>
      <c r="AB29" s="3" t="s">
        <v>150</v>
      </c>
      <c r="AC29" s="3" t="s">
        <v>150</v>
      </c>
      <c r="AD29" s="3" t="s">
        <v>150</v>
      </c>
      <c r="AE29" s="271"/>
      <c r="AF29" s="271"/>
      <c r="AG29" s="3" t="s">
        <v>284</v>
      </c>
      <c r="AH29" s="3" t="s">
        <v>237</v>
      </c>
      <c r="AI29" s="3" t="s">
        <v>237</v>
      </c>
      <c r="AJ29" s="232"/>
      <c r="AK29" s="3" t="s">
        <v>285</v>
      </c>
      <c r="AL29" s="18" t="s">
        <v>286</v>
      </c>
    </row>
    <row r="30" spans="4:70" ht="14.4" customHeight="1" x14ac:dyDescent="0.3">
      <c r="D30" s="267"/>
      <c r="E30" s="267"/>
      <c r="F30" s="267"/>
      <c r="G30" s="267"/>
      <c r="H30" s="298"/>
      <c r="I30" s="271"/>
      <c r="J30" s="232"/>
      <c r="K30" s="3" t="s">
        <v>115</v>
      </c>
      <c r="L30" s="3" t="s">
        <v>116</v>
      </c>
      <c r="M30" s="232"/>
      <c r="N30" s="3" t="s">
        <v>76</v>
      </c>
      <c r="O30" s="3">
        <v>5</v>
      </c>
      <c r="P30" s="268"/>
      <c r="Q30" s="268"/>
      <c r="R30" s="270"/>
      <c r="S30" s="268"/>
      <c r="T30" s="268"/>
      <c r="U30" s="270"/>
      <c r="V30" s="270"/>
      <c r="W30" s="270"/>
      <c r="X30" s="272"/>
      <c r="Y30" s="3" t="s">
        <v>150</v>
      </c>
      <c r="Z30" s="3" t="s">
        <v>150</v>
      </c>
      <c r="AA30" s="3" t="s">
        <v>150</v>
      </c>
      <c r="AB30" s="3" t="s">
        <v>150</v>
      </c>
      <c r="AC30" s="3" t="s">
        <v>150</v>
      </c>
      <c r="AD30" s="3" t="s">
        <v>150</v>
      </c>
      <c r="AE30" s="271"/>
      <c r="AF30" s="271"/>
      <c r="AG30" s="3" t="s">
        <v>241</v>
      </c>
      <c r="AH30" s="3" t="s">
        <v>242</v>
      </c>
      <c r="AI30" s="3" t="s">
        <v>243</v>
      </c>
      <c r="AJ30" s="232"/>
      <c r="AK30" s="3" t="s">
        <v>287</v>
      </c>
      <c r="AL30" s="18" t="s">
        <v>244</v>
      </c>
    </row>
    <row r="31" spans="4:70" ht="14.4" customHeight="1" x14ac:dyDescent="0.3">
      <c r="D31" s="267"/>
      <c r="E31" s="267"/>
      <c r="F31" s="267"/>
      <c r="G31" s="267"/>
      <c r="H31" s="298"/>
      <c r="I31" s="271"/>
      <c r="J31" s="232"/>
      <c r="K31" s="3" t="s">
        <v>117</v>
      </c>
      <c r="L31" s="3" t="s">
        <v>118</v>
      </c>
      <c r="M31" s="232"/>
      <c r="N31" s="3" t="s">
        <v>76</v>
      </c>
      <c r="O31" s="3" t="s">
        <v>93</v>
      </c>
      <c r="P31" s="268"/>
      <c r="Q31" s="268"/>
      <c r="R31" s="270"/>
      <c r="S31" s="268"/>
      <c r="T31" s="268"/>
      <c r="U31" s="270"/>
      <c r="V31" s="270"/>
      <c r="W31" s="270"/>
      <c r="X31" s="272"/>
      <c r="Y31" s="3" t="s">
        <v>150</v>
      </c>
      <c r="Z31" s="3" t="s">
        <v>135</v>
      </c>
      <c r="AA31" s="3" t="s">
        <v>150</v>
      </c>
      <c r="AB31" s="3" t="s">
        <v>136</v>
      </c>
      <c r="AC31" s="3" t="s">
        <v>150</v>
      </c>
      <c r="AD31" s="3" t="s">
        <v>137</v>
      </c>
      <c r="AE31" s="271"/>
      <c r="AF31" s="271"/>
      <c r="AG31" s="3" t="s">
        <v>245</v>
      </c>
      <c r="AH31" s="3" t="s">
        <v>246</v>
      </c>
      <c r="AI31" s="3" t="s">
        <v>247</v>
      </c>
      <c r="AJ31" s="232"/>
      <c r="AK31" s="3" t="s">
        <v>248</v>
      </c>
      <c r="AL31" s="18" t="s">
        <v>288</v>
      </c>
    </row>
    <row r="32" spans="4:70" ht="14.4" customHeight="1" x14ac:dyDescent="0.3">
      <c r="D32" s="267"/>
      <c r="E32" s="267"/>
      <c r="F32" s="267"/>
      <c r="G32" s="267"/>
      <c r="H32" s="298"/>
      <c r="I32" s="271"/>
      <c r="J32" s="232"/>
      <c r="K32" s="3" t="s">
        <v>119</v>
      </c>
      <c r="L32" s="3" t="s">
        <v>120</v>
      </c>
      <c r="M32" s="232"/>
      <c r="N32" s="3" t="s">
        <v>76</v>
      </c>
      <c r="O32" s="3">
        <v>10</v>
      </c>
      <c r="P32" s="268"/>
      <c r="Q32" s="268"/>
      <c r="R32" s="270"/>
      <c r="S32" s="268"/>
      <c r="T32" s="268"/>
      <c r="U32" s="270"/>
      <c r="V32" s="270"/>
      <c r="W32" s="270"/>
      <c r="X32" s="272"/>
      <c r="Y32" s="3" t="s">
        <v>150</v>
      </c>
      <c r="Z32" s="3" t="s">
        <v>150</v>
      </c>
      <c r="AA32" s="3" t="s">
        <v>150</v>
      </c>
      <c r="AB32" s="3" t="s">
        <v>150</v>
      </c>
      <c r="AC32" s="3" t="s">
        <v>150</v>
      </c>
      <c r="AD32" s="3" t="s">
        <v>150</v>
      </c>
      <c r="AE32" s="271"/>
      <c r="AF32" s="271"/>
      <c r="AG32" s="3" t="s">
        <v>249</v>
      </c>
      <c r="AH32" s="3" t="s">
        <v>250</v>
      </c>
      <c r="AI32" s="3" t="s">
        <v>251</v>
      </c>
      <c r="AJ32" s="232"/>
      <c r="AK32" s="3" t="s">
        <v>252</v>
      </c>
      <c r="AL32" s="18" t="s">
        <v>253</v>
      </c>
    </row>
    <row r="33" spans="4:38" ht="14.4" customHeight="1" x14ac:dyDescent="0.3">
      <c r="D33" s="267"/>
      <c r="E33" s="267"/>
      <c r="F33" s="267"/>
      <c r="G33" s="267"/>
      <c r="H33" s="298"/>
      <c r="I33" s="271"/>
      <c r="J33" s="232"/>
      <c r="K33" s="3" t="s">
        <v>121</v>
      </c>
      <c r="L33" s="3" t="s">
        <v>122</v>
      </c>
      <c r="M33" s="232"/>
      <c r="N33" s="3" t="s">
        <v>76</v>
      </c>
      <c r="O33" s="3"/>
      <c r="P33" s="268"/>
      <c r="Q33" s="268"/>
      <c r="R33" s="270"/>
      <c r="S33" s="268"/>
      <c r="T33" s="268"/>
      <c r="U33" s="270"/>
      <c r="V33" s="270"/>
      <c r="W33" s="270"/>
      <c r="X33" s="272"/>
      <c r="Y33" s="3" t="s">
        <v>138</v>
      </c>
      <c r="Z33" s="3" t="s">
        <v>139</v>
      </c>
      <c r="AA33" s="3" t="s">
        <v>140</v>
      </c>
      <c r="AB33" s="3" t="s">
        <v>141</v>
      </c>
      <c r="AC33" s="3" t="s">
        <v>142</v>
      </c>
      <c r="AD33" s="3" t="s">
        <v>143</v>
      </c>
      <c r="AE33" s="271"/>
      <c r="AF33" s="271"/>
      <c r="AG33" s="3" t="s">
        <v>254</v>
      </c>
      <c r="AH33" s="3" t="s">
        <v>289</v>
      </c>
      <c r="AI33" s="3" t="s">
        <v>289</v>
      </c>
      <c r="AJ33" s="232"/>
      <c r="AK33" s="3" t="s">
        <v>290</v>
      </c>
      <c r="AL33" s="18" t="s">
        <v>290</v>
      </c>
    </row>
    <row r="34" spans="4:38" ht="14.4" customHeight="1" x14ac:dyDescent="0.3">
      <c r="D34" s="267"/>
      <c r="E34" s="267"/>
      <c r="F34" s="267"/>
      <c r="G34" s="267"/>
      <c r="H34" s="298"/>
      <c r="I34" s="271"/>
      <c r="J34" s="232"/>
      <c r="K34" s="3" t="s">
        <v>123</v>
      </c>
      <c r="L34" s="3" t="s">
        <v>124</v>
      </c>
      <c r="M34" s="232"/>
      <c r="N34" s="3" t="s">
        <v>76</v>
      </c>
      <c r="O34" s="3">
        <v>50</v>
      </c>
      <c r="P34" s="268"/>
      <c r="Q34" s="268"/>
      <c r="R34" s="270"/>
      <c r="S34" s="268"/>
      <c r="T34" s="268"/>
      <c r="U34" s="270"/>
      <c r="V34" s="270"/>
      <c r="W34" s="270"/>
      <c r="X34" s="272"/>
      <c r="Y34" s="3"/>
      <c r="Z34" s="3" t="s">
        <v>150</v>
      </c>
      <c r="AA34" s="3" t="s">
        <v>150</v>
      </c>
      <c r="AB34" s="3" t="s">
        <v>150</v>
      </c>
      <c r="AC34" s="3" t="s">
        <v>150</v>
      </c>
      <c r="AD34" s="3" t="s">
        <v>150</v>
      </c>
      <c r="AE34" s="271"/>
      <c r="AF34" s="271"/>
      <c r="AG34" s="3"/>
      <c r="AH34" s="3"/>
      <c r="AI34" s="3"/>
      <c r="AJ34" s="232"/>
      <c r="AK34" s="3"/>
      <c r="AL34" s="18"/>
    </row>
    <row r="35" spans="4:38" ht="14.4" customHeight="1" x14ac:dyDescent="0.3">
      <c r="D35" s="267"/>
      <c r="E35" s="267"/>
      <c r="F35" s="267"/>
      <c r="G35" s="267"/>
      <c r="H35" s="298"/>
      <c r="I35" s="271"/>
      <c r="J35" s="232"/>
      <c r="K35" s="3" t="s">
        <v>152</v>
      </c>
      <c r="L35" s="3">
        <v>185</v>
      </c>
      <c r="M35" s="232"/>
      <c r="N35" s="3" t="s">
        <v>126</v>
      </c>
      <c r="O35" s="3"/>
      <c r="P35" s="268"/>
      <c r="Q35" s="268"/>
      <c r="R35" s="270"/>
      <c r="S35" s="268"/>
      <c r="T35" s="268"/>
      <c r="U35" s="270"/>
      <c r="V35" s="270"/>
      <c r="W35" s="270"/>
      <c r="X35" s="272"/>
      <c r="Y35" s="3" t="s">
        <v>150</v>
      </c>
      <c r="Z35" s="3" t="s">
        <v>144</v>
      </c>
      <c r="AA35" s="3" t="s">
        <v>150</v>
      </c>
      <c r="AB35" s="3" t="s">
        <v>145</v>
      </c>
      <c r="AC35" s="3" t="s">
        <v>150</v>
      </c>
      <c r="AD35" s="3" t="s">
        <v>146</v>
      </c>
      <c r="AE35" s="271"/>
      <c r="AF35" s="271"/>
      <c r="AG35" s="3" t="s">
        <v>255</v>
      </c>
      <c r="AH35" s="3"/>
      <c r="AI35" s="3"/>
      <c r="AJ35" s="232"/>
      <c r="AK35" s="3"/>
      <c r="AL35" s="18"/>
    </row>
    <row r="36" spans="4:38" ht="14.4" customHeight="1" x14ac:dyDescent="0.3">
      <c r="D36" s="267"/>
      <c r="E36" s="267"/>
      <c r="F36" s="267"/>
      <c r="G36" s="267"/>
      <c r="H36" s="298"/>
      <c r="I36" s="271"/>
      <c r="J36" s="232"/>
      <c r="K36" s="3" t="s">
        <v>127</v>
      </c>
      <c r="L36" s="3">
        <v>2649</v>
      </c>
      <c r="M36" s="232"/>
      <c r="N36" s="3" t="s">
        <v>76</v>
      </c>
      <c r="O36" s="3"/>
      <c r="P36" s="268"/>
      <c r="Q36" s="268"/>
      <c r="R36" s="270"/>
      <c r="S36" s="268"/>
      <c r="T36" s="268"/>
      <c r="U36" s="270"/>
      <c r="V36" s="270"/>
      <c r="W36" s="270"/>
      <c r="X36" s="272"/>
      <c r="Y36" s="3" t="s">
        <v>150</v>
      </c>
      <c r="Z36" s="3" t="s">
        <v>150</v>
      </c>
      <c r="AA36" s="3" t="s">
        <v>150</v>
      </c>
      <c r="AB36" s="3" t="s">
        <v>150</v>
      </c>
      <c r="AC36" s="3" t="s">
        <v>150</v>
      </c>
      <c r="AD36" s="3" t="s">
        <v>150</v>
      </c>
      <c r="AE36" s="271"/>
      <c r="AF36" s="271"/>
      <c r="AG36" s="3"/>
      <c r="AH36" s="3"/>
      <c r="AI36" s="3"/>
      <c r="AJ36" s="232"/>
      <c r="AK36" s="3"/>
      <c r="AL36" s="18"/>
    </row>
    <row r="37" spans="4:38" ht="14.4" customHeight="1" x14ac:dyDescent="0.3">
      <c r="D37" s="267"/>
      <c r="E37" s="267"/>
      <c r="F37" s="267"/>
      <c r="G37" s="267"/>
      <c r="H37" s="298"/>
      <c r="I37" s="271"/>
      <c r="J37" s="232"/>
      <c r="K37" s="3" t="s">
        <v>1258</v>
      </c>
      <c r="L37" s="3">
        <v>50</v>
      </c>
      <c r="M37" s="232"/>
      <c r="N37" s="3" t="s">
        <v>129</v>
      </c>
      <c r="O37" s="3"/>
      <c r="P37" s="268"/>
      <c r="Q37" s="268"/>
      <c r="R37" s="270"/>
      <c r="S37" s="268"/>
      <c r="T37" s="268"/>
      <c r="U37" s="270"/>
      <c r="V37" s="270"/>
      <c r="W37" s="270"/>
      <c r="X37" s="272"/>
      <c r="Y37" s="3" t="s">
        <v>150</v>
      </c>
      <c r="Z37" s="3" t="s">
        <v>150</v>
      </c>
      <c r="AA37" s="3" t="s">
        <v>150</v>
      </c>
      <c r="AB37" s="3" t="s">
        <v>150</v>
      </c>
      <c r="AC37" s="3" t="s">
        <v>150</v>
      </c>
      <c r="AD37" s="3" t="s">
        <v>150</v>
      </c>
      <c r="AE37" s="271"/>
      <c r="AF37" s="271"/>
      <c r="AG37" s="3" t="s">
        <v>256</v>
      </c>
      <c r="AH37" s="3"/>
      <c r="AI37" s="3"/>
      <c r="AJ37" s="232"/>
      <c r="AK37" s="3"/>
      <c r="AL37" s="18"/>
    </row>
    <row r="38" spans="4:38" ht="14.4" customHeight="1" x14ac:dyDescent="0.3">
      <c r="D38" s="267"/>
      <c r="E38" s="267"/>
      <c r="F38" s="267"/>
      <c r="G38" s="267"/>
      <c r="H38" s="298"/>
      <c r="I38" s="271"/>
      <c r="J38" s="232"/>
      <c r="K38" s="3" t="s">
        <v>1259</v>
      </c>
      <c r="L38" s="3">
        <v>2477</v>
      </c>
      <c r="M38" s="232"/>
      <c r="N38" s="3" t="s">
        <v>131</v>
      </c>
      <c r="O38" s="3"/>
      <c r="P38" s="268"/>
      <c r="Q38" s="268"/>
      <c r="R38" s="270"/>
      <c r="S38" s="268"/>
      <c r="T38" s="268"/>
      <c r="U38" s="270"/>
      <c r="V38" s="270"/>
      <c r="W38" s="270"/>
      <c r="X38" s="272"/>
      <c r="Y38" s="3" t="s">
        <v>150</v>
      </c>
      <c r="Z38" s="3" t="s">
        <v>150</v>
      </c>
      <c r="AA38" s="3" t="s">
        <v>150</v>
      </c>
      <c r="AB38" s="3" t="s">
        <v>150</v>
      </c>
      <c r="AC38" s="3" t="s">
        <v>150</v>
      </c>
      <c r="AD38" s="3" t="s">
        <v>150</v>
      </c>
      <c r="AE38" s="271"/>
      <c r="AF38" s="271"/>
      <c r="AG38" s="3" t="s">
        <v>257</v>
      </c>
      <c r="AH38" s="3"/>
      <c r="AI38" s="3"/>
      <c r="AJ38" s="232"/>
      <c r="AK38" s="3"/>
      <c r="AL38" s="18"/>
    </row>
    <row r="39" spans="4:38" ht="14.4" customHeight="1" x14ac:dyDescent="0.3">
      <c r="D39" s="267"/>
      <c r="E39" s="267"/>
      <c r="F39" s="267"/>
      <c r="G39" s="267"/>
      <c r="H39" s="298"/>
      <c r="I39" s="271"/>
      <c r="J39" s="232"/>
      <c r="K39" s="3" t="s">
        <v>1260</v>
      </c>
      <c r="L39" s="3">
        <v>122</v>
      </c>
      <c r="M39" s="232"/>
      <c r="N39" s="3" t="s">
        <v>133</v>
      </c>
      <c r="O39" s="3"/>
      <c r="P39" s="268"/>
      <c r="Q39" s="268"/>
      <c r="R39" s="270"/>
      <c r="S39" s="268"/>
      <c r="T39" s="268"/>
      <c r="U39" s="270"/>
      <c r="V39" s="270"/>
      <c r="W39" s="270"/>
      <c r="X39" s="272"/>
      <c r="Y39" s="3" t="s">
        <v>150</v>
      </c>
      <c r="Z39" s="3" t="s">
        <v>150</v>
      </c>
      <c r="AA39" s="3" t="s">
        <v>150</v>
      </c>
      <c r="AB39" s="3" t="s">
        <v>150</v>
      </c>
      <c r="AC39" s="3" t="s">
        <v>150</v>
      </c>
      <c r="AD39" s="3" t="s">
        <v>150</v>
      </c>
      <c r="AE39" s="271"/>
      <c r="AF39" s="271"/>
      <c r="AG39" s="3" t="s">
        <v>258</v>
      </c>
      <c r="AH39" s="3"/>
      <c r="AI39" s="3"/>
      <c r="AJ39" s="232"/>
      <c r="AK39" s="3"/>
      <c r="AL39" s="18"/>
    </row>
    <row r="40" spans="4:38" ht="14.4" customHeight="1" x14ac:dyDescent="0.3">
      <c r="D40" s="267"/>
      <c r="E40" s="267"/>
      <c r="F40" s="267"/>
      <c r="G40" s="267"/>
      <c r="H40" s="298"/>
      <c r="I40" s="271"/>
      <c r="J40" s="233"/>
      <c r="K40" s="7" t="s">
        <v>441</v>
      </c>
      <c r="L40" s="3"/>
      <c r="M40" s="233"/>
      <c r="N40" s="3"/>
      <c r="O40" s="3"/>
      <c r="P40" s="269"/>
      <c r="Q40" s="269"/>
      <c r="R40" s="270"/>
      <c r="S40" s="269"/>
      <c r="T40" s="269"/>
      <c r="U40" s="270"/>
      <c r="V40" s="270"/>
      <c r="W40" s="270"/>
      <c r="X40" s="273"/>
      <c r="Y40" s="7" t="s">
        <v>138</v>
      </c>
      <c r="Z40" s="7" t="s">
        <v>147</v>
      </c>
      <c r="AA40" s="7" t="s">
        <v>140</v>
      </c>
      <c r="AB40" s="7" t="s">
        <v>148</v>
      </c>
      <c r="AC40" s="7" t="s">
        <v>142</v>
      </c>
      <c r="AD40" s="7" t="s">
        <v>149</v>
      </c>
      <c r="AE40" s="271"/>
      <c r="AF40" s="271"/>
      <c r="AG40" s="7" t="s">
        <v>259</v>
      </c>
      <c r="AH40" s="7" t="s">
        <v>260</v>
      </c>
      <c r="AI40" s="7" t="s">
        <v>260</v>
      </c>
      <c r="AJ40" s="233"/>
      <c r="AK40" s="7" t="s">
        <v>261</v>
      </c>
      <c r="AL40" s="58" t="s">
        <v>262</v>
      </c>
    </row>
    <row r="41" spans="4:38" x14ac:dyDescent="0.3">
      <c r="D41" s="267"/>
      <c r="E41" s="267"/>
      <c r="F41" s="267"/>
      <c r="G41" s="267"/>
      <c r="H41" s="298"/>
      <c r="I41" s="281" t="s">
        <v>9</v>
      </c>
      <c r="J41" s="234"/>
      <c r="K41" s="5" t="s">
        <v>75</v>
      </c>
      <c r="L41" s="56">
        <v>196</v>
      </c>
      <c r="M41" s="284" t="s">
        <v>1058</v>
      </c>
      <c r="N41" s="55" t="s">
        <v>76</v>
      </c>
      <c r="O41" s="55">
        <v>29</v>
      </c>
      <c r="P41" s="293" t="s">
        <v>1033</v>
      </c>
      <c r="Q41" s="284" t="s">
        <v>845</v>
      </c>
      <c r="R41" s="293" t="s">
        <v>1038</v>
      </c>
      <c r="S41" s="281" t="s">
        <v>13</v>
      </c>
      <c r="T41" s="234" t="s">
        <v>999</v>
      </c>
      <c r="U41" s="293" t="s">
        <v>668</v>
      </c>
      <c r="V41" s="293" t="s">
        <v>668</v>
      </c>
      <c r="W41" s="293" t="s">
        <v>995</v>
      </c>
      <c r="X41" s="300" t="s">
        <v>1092</v>
      </c>
      <c r="Y41" s="276" t="s">
        <v>360</v>
      </c>
      <c r="Z41" s="302"/>
      <c r="AA41" s="302"/>
      <c r="AB41" s="302"/>
      <c r="AC41" s="302"/>
      <c r="AD41" s="277"/>
      <c r="AE41" s="276" t="s">
        <v>668</v>
      </c>
      <c r="AF41" s="277"/>
      <c r="AG41" s="55" t="s">
        <v>293</v>
      </c>
      <c r="AH41" s="55" t="s">
        <v>294</v>
      </c>
      <c r="AI41" s="55" t="s">
        <v>295</v>
      </c>
      <c r="AJ41" s="55"/>
      <c r="AK41" s="55" t="s">
        <v>183</v>
      </c>
      <c r="AL41" s="57" t="s">
        <v>184</v>
      </c>
    </row>
    <row r="42" spans="4:38" ht="14.4" customHeight="1" x14ac:dyDescent="0.3">
      <c r="D42" s="267"/>
      <c r="E42" s="267"/>
      <c r="F42" s="267"/>
      <c r="G42" s="267"/>
      <c r="H42" s="298"/>
      <c r="I42" s="282"/>
      <c r="J42" s="235"/>
      <c r="K42" s="5" t="s">
        <v>170</v>
      </c>
      <c r="L42" s="5" t="s">
        <v>154</v>
      </c>
      <c r="M42" s="285"/>
      <c r="N42" s="5" t="s">
        <v>168</v>
      </c>
      <c r="O42" s="5">
        <v>9</v>
      </c>
      <c r="P42" s="294"/>
      <c r="Q42" s="285"/>
      <c r="R42" s="294"/>
      <c r="S42" s="282"/>
      <c r="T42" s="235"/>
      <c r="U42" s="294"/>
      <c r="V42" s="294"/>
      <c r="W42" s="294"/>
      <c r="X42" s="300"/>
      <c r="Y42" s="276"/>
      <c r="Z42" s="302"/>
      <c r="AA42" s="302"/>
      <c r="AB42" s="302"/>
      <c r="AC42" s="302"/>
      <c r="AD42" s="277"/>
      <c r="AE42" s="276"/>
      <c r="AF42" s="277"/>
      <c r="AG42" s="5" t="s">
        <v>296</v>
      </c>
      <c r="AH42" s="5" t="s">
        <v>297</v>
      </c>
      <c r="AI42" s="5" t="s">
        <v>298</v>
      </c>
      <c r="AJ42" s="5"/>
      <c r="AK42" s="5" t="s">
        <v>299</v>
      </c>
      <c r="AL42" s="19" t="s">
        <v>300</v>
      </c>
    </row>
    <row r="43" spans="4:38" ht="14.4" customHeight="1" x14ac:dyDescent="0.3">
      <c r="D43" s="267"/>
      <c r="E43" s="267"/>
      <c r="F43" s="267"/>
      <c r="G43" s="267"/>
      <c r="H43" s="298"/>
      <c r="I43" s="282"/>
      <c r="J43" s="235"/>
      <c r="K43" s="5" t="s">
        <v>80</v>
      </c>
      <c r="L43" s="5">
        <v>305</v>
      </c>
      <c r="M43" s="285"/>
      <c r="N43" s="5" t="s">
        <v>76</v>
      </c>
      <c r="O43" s="5">
        <v>103</v>
      </c>
      <c r="P43" s="294"/>
      <c r="Q43" s="285"/>
      <c r="R43" s="294"/>
      <c r="S43" s="282"/>
      <c r="T43" s="235"/>
      <c r="U43" s="294"/>
      <c r="V43" s="294"/>
      <c r="W43" s="294"/>
      <c r="X43" s="300"/>
      <c r="Y43" s="276"/>
      <c r="Z43" s="302"/>
      <c r="AA43" s="302"/>
      <c r="AB43" s="302"/>
      <c r="AC43" s="302"/>
      <c r="AD43" s="277"/>
      <c r="AE43" s="276"/>
      <c r="AF43" s="277"/>
      <c r="AG43" s="5" t="s">
        <v>247</v>
      </c>
      <c r="AH43" s="5" t="s">
        <v>301</v>
      </c>
      <c r="AI43" s="5" t="s">
        <v>302</v>
      </c>
      <c r="AJ43" s="5"/>
      <c r="AK43" s="5" t="s">
        <v>191</v>
      </c>
      <c r="AL43" s="19" t="s">
        <v>192</v>
      </c>
    </row>
    <row r="44" spans="4:38" ht="14.4" customHeight="1" x14ac:dyDescent="0.3">
      <c r="D44" s="267"/>
      <c r="E44" s="267"/>
      <c r="F44" s="267"/>
      <c r="G44" s="267"/>
      <c r="H44" s="298"/>
      <c r="I44" s="282"/>
      <c r="J44" s="235"/>
      <c r="K44" s="5" t="s">
        <v>171</v>
      </c>
      <c r="L44" s="5">
        <v>237</v>
      </c>
      <c r="M44" s="285"/>
      <c r="N44" s="5" t="s">
        <v>76</v>
      </c>
      <c r="O44" s="5">
        <v>120</v>
      </c>
      <c r="P44" s="294"/>
      <c r="Q44" s="285"/>
      <c r="R44" s="294"/>
      <c r="S44" s="282"/>
      <c r="T44" s="235"/>
      <c r="U44" s="294"/>
      <c r="V44" s="294"/>
      <c r="W44" s="294"/>
      <c r="X44" s="300"/>
      <c r="Y44" s="276"/>
      <c r="Z44" s="302"/>
      <c r="AA44" s="302"/>
      <c r="AB44" s="302"/>
      <c r="AC44" s="302"/>
      <c r="AD44" s="277"/>
      <c r="AE44" s="276"/>
      <c r="AF44" s="277"/>
      <c r="AG44" s="5" t="s">
        <v>303</v>
      </c>
      <c r="AH44" s="5" t="s">
        <v>226</v>
      </c>
      <c r="AI44" s="5" t="s">
        <v>304</v>
      </c>
      <c r="AJ44" s="5"/>
      <c r="AK44" s="5" t="s">
        <v>305</v>
      </c>
      <c r="AL44" s="19" t="s">
        <v>306</v>
      </c>
    </row>
    <row r="45" spans="4:38" ht="14.4" customHeight="1" x14ac:dyDescent="0.3">
      <c r="D45" s="267"/>
      <c r="E45" s="267"/>
      <c r="F45" s="267"/>
      <c r="G45" s="267"/>
      <c r="H45" s="298"/>
      <c r="I45" s="282"/>
      <c r="J45" s="235"/>
      <c r="K45" s="5" t="s">
        <v>83</v>
      </c>
      <c r="L45" s="5" t="s">
        <v>155</v>
      </c>
      <c r="M45" s="285"/>
      <c r="N45" s="5" t="s">
        <v>76</v>
      </c>
      <c r="O45" s="5">
        <v>1</v>
      </c>
      <c r="P45" s="294"/>
      <c r="Q45" s="285"/>
      <c r="R45" s="294"/>
      <c r="S45" s="282"/>
      <c r="T45" s="235"/>
      <c r="U45" s="294"/>
      <c r="V45" s="294"/>
      <c r="W45" s="294"/>
      <c r="X45" s="300"/>
      <c r="Y45" s="276"/>
      <c r="Z45" s="302"/>
      <c r="AA45" s="302"/>
      <c r="AB45" s="302"/>
      <c r="AC45" s="302"/>
      <c r="AD45" s="277"/>
      <c r="AE45" s="276"/>
      <c r="AF45" s="277"/>
      <c r="AG45" s="5" t="s">
        <v>307</v>
      </c>
      <c r="AH45" s="5" t="s">
        <v>198</v>
      </c>
      <c r="AI45" s="5" t="s">
        <v>198</v>
      </c>
      <c r="AJ45" s="5"/>
      <c r="AK45" s="5" t="s">
        <v>198</v>
      </c>
      <c r="AL45" s="19" t="s">
        <v>198</v>
      </c>
    </row>
    <row r="46" spans="4:38" ht="14.4" customHeight="1" x14ac:dyDescent="0.3">
      <c r="D46" s="267"/>
      <c r="E46" s="267"/>
      <c r="F46" s="267"/>
      <c r="G46" s="267"/>
      <c r="H46" s="298"/>
      <c r="I46" s="282"/>
      <c r="J46" s="235"/>
      <c r="K46" s="5" t="s">
        <v>86</v>
      </c>
      <c r="L46" s="5">
        <v>548</v>
      </c>
      <c r="M46" s="285"/>
      <c r="N46" s="5" t="s">
        <v>76</v>
      </c>
      <c r="O46" s="5">
        <v>158</v>
      </c>
      <c r="P46" s="294"/>
      <c r="Q46" s="285"/>
      <c r="R46" s="294"/>
      <c r="S46" s="282"/>
      <c r="T46" s="235"/>
      <c r="U46" s="294"/>
      <c r="V46" s="294"/>
      <c r="W46" s="294"/>
      <c r="X46" s="300"/>
      <c r="Y46" s="276"/>
      <c r="Z46" s="302"/>
      <c r="AA46" s="302"/>
      <c r="AB46" s="302"/>
      <c r="AC46" s="302"/>
      <c r="AD46" s="277"/>
      <c r="AE46" s="276"/>
      <c r="AF46" s="277"/>
      <c r="AG46" s="5" t="s">
        <v>308</v>
      </c>
      <c r="AH46" s="5" t="s">
        <v>309</v>
      </c>
      <c r="AI46" s="5" t="s">
        <v>310</v>
      </c>
      <c r="AJ46" s="5"/>
      <c r="AK46" s="5" t="s">
        <v>207</v>
      </c>
      <c r="AL46" s="19" t="s">
        <v>208</v>
      </c>
    </row>
    <row r="47" spans="4:38" ht="14.4" customHeight="1" x14ac:dyDescent="0.3">
      <c r="D47" s="267"/>
      <c r="E47" s="267"/>
      <c r="F47" s="267"/>
      <c r="G47" s="267"/>
      <c r="H47" s="298"/>
      <c r="I47" s="282"/>
      <c r="J47" s="235"/>
      <c r="K47" s="5" t="s">
        <v>87</v>
      </c>
      <c r="L47" s="5">
        <v>306</v>
      </c>
      <c r="M47" s="285"/>
      <c r="N47" s="5" t="s">
        <v>76</v>
      </c>
      <c r="O47" s="5">
        <v>100</v>
      </c>
      <c r="P47" s="294"/>
      <c r="Q47" s="285"/>
      <c r="R47" s="294"/>
      <c r="S47" s="282"/>
      <c r="T47" s="235"/>
      <c r="U47" s="294"/>
      <c r="V47" s="294"/>
      <c r="W47" s="294"/>
      <c r="X47" s="300"/>
      <c r="Y47" s="276"/>
      <c r="Z47" s="302"/>
      <c r="AA47" s="302"/>
      <c r="AB47" s="302"/>
      <c r="AC47" s="302"/>
      <c r="AD47" s="277"/>
      <c r="AE47" s="276"/>
      <c r="AF47" s="277"/>
      <c r="AG47" s="5" t="s">
        <v>311</v>
      </c>
      <c r="AH47" s="5" t="s">
        <v>312</v>
      </c>
      <c r="AI47" s="5" t="s">
        <v>313</v>
      </c>
      <c r="AJ47" s="5"/>
      <c r="AK47" s="5" t="s">
        <v>212</v>
      </c>
      <c r="AL47" s="19" t="s">
        <v>213</v>
      </c>
    </row>
    <row r="48" spans="4:38" ht="14.4" customHeight="1" x14ac:dyDescent="0.3">
      <c r="D48" s="267"/>
      <c r="E48" s="267"/>
      <c r="F48" s="267"/>
      <c r="G48" s="267"/>
      <c r="H48" s="298"/>
      <c r="I48" s="282"/>
      <c r="J48" s="235"/>
      <c r="K48" s="5" t="s">
        <v>88</v>
      </c>
      <c r="L48" s="5" t="s">
        <v>156</v>
      </c>
      <c r="M48" s="285"/>
      <c r="N48" s="5" t="s">
        <v>76</v>
      </c>
      <c r="O48" s="5" t="s">
        <v>90</v>
      </c>
      <c r="P48" s="294"/>
      <c r="Q48" s="285"/>
      <c r="R48" s="294"/>
      <c r="S48" s="282"/>
      <c r="T48" s="235"/>
      <c r="U48" s="294"/>
      <c r="V48" s="294"/>
      <c r="W48" s="294"/>
      <c r="X48" s="300"/>
      <c r="Y48" s="276"/>
      <c r="Z48" s="302"/>
      <c r="AA48" s="302"/>
      <c r="AB48" s="302"/>
      <c r="AC48" s="302"/>
      <c r="AD48" s="277"/>
      <c r="AE48" s="276"/>
      <c r="AF48" s="277"/>
      <c r="AG48" s="5" t="s">
        <v>314</v>
      </c>
      <c r="AH48" s="5" t="s">
        <v>315</v>
      </c>
      <c r="AI48" s="5" t="s">
        <v>316</v>
      </c>
      <c r="AJ48" s="5"/>
      <c r="AK48" s="5" t="s">
        <v>214</v>
      </c>
      <c r="AL48" s="19" t="s">
        <v>317</v>
      </c>
    </row>
    <row r="49" spans="4:38" ht="14.4" customHeight="1" x14ac:dyDescent="0.3">
      <c r="D49" s="267"/>
      <c r="E49" s="267"/>
      <c r="F49" s="267"/>
      <c r="G49" s="267"/>
      <c r="H49" s="298"/>
      <c r="I49" s="282"/>
      <c r="J49" s="235"/>
      <c r="K49" s="5" t="s">
        <v>91</v>
      </c>
      <c r="L49" s="5" t="s">
        <v>157</v>
      </c>
      <c r="M49" s="285"/>
      <c r="N49" s="5" t="s">
        <v>76</v>
      </c>
      <c r="O49" s="5" t="s">
        <v>93</v>
      </c>
      <c r="P49" s="294"/>
      <c r="Q49" s="285"/>
      <c r="R49" s="294"/>
      <c r="S49" s="282"/>
      <c r="T49" s="235"/>
      <c r="U49" s="294"/>
      <c r="V49" s="294"/>
      <c r="W49" s="294"/>
      <c r="X49" s="300"/>
      <c r="Y49" s="276"/>
      <c r="Z49" s="302"/>
      <c r="AA49" s="302"/>
      <c r="AB49" s="302"/>
      <c r="AC49" s="302"/>
      <c r="AD49" s="277"/>
      <c r="AE49" s="276"/>
      <c r="AF49" s="277"/>
      <c r="AG49" s="5" t="s">
        <v>318</v>
      </c>
      <c r="AH49" s="5" t="s">
        <v>315</v>
      </c>
      <c r="AI49" s="5" t="s">
        <v>319</v>
      </c>
      <c r="AJ49" s="5"/>
      <c r="AK49" s="5" t="s">
        <v>217</v>
      </c>
      <c r="AL49" s="19" t="s">
        <v>320</v>
      </c>
    </row>
    <row r="50" spans="4:38" ht="14.4" customHeight="1" x14ac:dyDescent="0.3">
      <c r="D50" s="267"/>
      <c r="E50" s="267"/>
      <c r="F50" s="267"/>
      <c r="G50" s="267"/>
      <c r="H50" s="298"/>
      <c r="I50" s="282"/>
      <c r="J50" s="235"/>
      <c r="K50" s="5" t="s">
        <v>94</v>
      </c>
      <c r="L50" s="5" t="s">
        <v>158</v>
      </c>
      <c r="M50" s="285"/>
      <c r="N50" s="5" t="s">
        <v>76</v>
      </c>
      <c r="O50" s="5" t="s">
        <v>90</v>
      </c>
      <c r="P50" s="294"/>
      <c r="Q50" s="285"/>
      <c r="R50" s="294"/>
      <c r="S50" s="282"/>
      <c r="T50" s="235"/>
      <c r="U50" s="294"/>
      <c r="V50" s="294"/>
      <c r="W50" s="294"/>
      <c r="X50" s="300"/>
      <c r="Y50" s="276"/>
      <c r="Z50" s="302"/>
      <c r="AA50" s="302"/>
      <c r="AB50" s="302"/>
      <c r="AC50" s="302"/>
      <c r="AD50" s="277"/>
      <c r="AE50" s="276"/>
      <c r="AF50" s="277"/>
      <c r="AG50" s="5" t="s">
        <v>321</v>
      </c>
      <c r="AH50" s="5" t="s">
        <v>322</v>
      </c>
      <c r="AI50" s="5" t="s">
        <v>323</v>
      </c>
      <c r="AJ50" s="5"/>
      <c r="AK50" s="5" t="s">
        <v>221</v>
      </c>
      <c r="AL50" s="19" t="s">
        <v>269</v>
      </c>
    </row>
    <row r="51" spans="4:38" ht="14.4" customHeight="1" x14ac:dyDescent="0.3">
      <c r="D51" s="267"/>
      <c r="E51" s="267"/>
      <c r="F51" s="267"/>
      <c r="G51" s="267"/>
      <c r="H51" s="298"/>
      <c r="I51" s="282"/>
      <c r="J51" s="235"/>
      <c r="K51" s="5" t="s">
        <v>96</v>
      </c>
      <c r="L51" s="5" t="s">
        <v>158</v>
      </c>
      <c r="M51" s="285"/>
      <c r="N51" s="5" t="s">
        <v>76</v>
      </c>
      <c r="O51" s="5" t="s">
        <v>90</v>
      </c>
      <c r="P51" s="294"/>
      <c r="Q51" s="285"/>
      <c r="R51" s="294"/>
      <c r="S51" s="282"/>
      <c r="T51" s="235"/>
      <c r="U51" s="294"/>
      <c r="V51" s="294"/>
      <c r="W51" s="294"/>
      <c r="X51" s="300"/>
      <c r="Y51" s="276"/>
      <c r="Z51" s="302"/>
      <c r="AA51" s="302"/>
      <c r="AB51" s="302"/>
      <c r="AC51" s="302"/>
      <c r="AD51" s="277"/>
      <c r="AE51" s="276"/>
      <c r="AF51" s="277"/>
      <c r="AG51" s="5" t="s">
        <v>321</v>
      </c>
      <c r="AH51" s="5" t="s">
        <v>322</v>
      </c>
      <c r="AI51" s="5" t="s">
        <v>323</v>
      </c>
      <c r="AJ51" s="5"/>
      <c r="AK51" s="5" t="s">
        <v>270</v>
      </c>
      <c r="AL51" s="19" t="s">
        <v>271</v>
      </c>
    </row>
    <row r="52" spans="4:38" ht="14.4" customHeight="1" x14ac:dyDescent="0.3">
      <c r="D52" s="267"/>
      <c r="E52" s="267"/>
      <c r="F52" s="267"/>
      <c r="G52" s="267"/>
      <c r="H52" s="298"/>
      <c r="I52" s="282"/>
      <c r="J52" s="235"/>
      <c r="K52" s="5" t="s">
        <v>97</v>
      </c>
      <c r="L52" s="5">
        <v>62</v>
      </c>
      <c r="M52" s="285"/>
      <c r="N52" s="5" t="s">
        <v>76</v>
      </c>
      <c r="O52" s="5" t="s">
        <v>93</v>
      </c>
      <c r="P52" s="294"/>
      <c r="Q52" s="285"/>
      <c r="R52" s="294"/>
      <c r="S52" s="282"/>
      <c r="T52" s="235"/>
      <c r="U52" s="294"/>
      <c r="V52" s="294"/>
      <c r="W52" s="294"/>
      <c r="X52" s="300"/>
      <c r="Y52" s="276"/>
      <c r="Z52" s="302"/>
      <c r="AA52" s="302"/>
      <c r="AB52" s="302"/>
      <c r="AC52" s="302"/>
      <c r="AD52" s="277"/>
      <c r="AE52" s="276"/>
      <c r="AF52" s="277"/>
      <c r="AG52" s="5" t="s">
        <v>324</v>
      </c>
      <c r="AH52" s="5" t="s">
        <v>325</v>
      </c>
      <c r="AI52" s="5" t="s">
        <v>326</v>
      </c>
      <c r="AJ52" s="5"/>
      <c r="AK52" s="5" t="s">
        <v>224</v>
      </c>
      <c r="AL52" s="19" t="s">
        <v>274</v>
      </c>
    </row>
    <row r="53" spans="4:38" ht="14.4" customHeight="1" x14ac:dyDescent="0.3">
      <c r="D53" s="267"/>
      <c r="E53" s="267"/>
      <c r="F53" s="267"/>
      <c r="G53" s="267"/>
      <c r="H53" s="298"/>
      <c r="I53" s="282"/>
      <c r="J53" s="235"/>
      <c r="K53" s="5" t="s">
        <v>99</v>
      </c>
      <c r="L53" s="5" t="s">
        <v>159</v>
      </c>
      <c r="M53" s="285"/>
      <c r="N53" s="5" t="s">
        <v>76</v>
      </c>
      <c r="O53" s="5" t="s">
        <v>90</v>
      </c>
      <c r="P53" s="294"/>
      <c r="Q53" s="285"/>
      <c r="R53" s="294"/>
      <c r="S53" s="282"/>
      <c r="T53" s="235"/>
      <c r="U53" s="294"/>
      <c r="V53" s="294"/>
      <c r="W53" s="294"/>
      <c r="X53" s="300"/>
      <c r="Y53" s="276"/>
      <c r="Z53" s="302"/>
      <c r="AA53" s="302"/>
      <c r="AB53" s="302"/>
      <c r="AC53" s="302"/>
      <c r="AD53" s="277"/>
      <c r="AE53" s="276"/>
      <c r="AF53" s="277"/>
      <c r="AG53" s="5" t="s">
        <v>327</v>
      </c>
      <c r="AH53" s="5" t="s">
        <v>328</v>
      </c>
      <c r="AI53" s="5" t="s">
        <v>329</v>
      </c>
      <c r="AJ53" s="5"/>
      <c r="AK53" s="5" t="s">
        <v>196</v>
      </c>
      <c r="AL53" s="19" t="s">
        <v>277</v>
      </c>
    </row>
    <row r="54" spans="4:38" ht="14.4" customHeight="1" x14ac:dyDescent="0.3">
      <c r="D54" s="267"/>
      <c r="E54" s="267"/>
      <c r="F54" s="267"/>
      <c r="G54" s="267"/>
      <c r="H54" s="298"/>
      <c r="I54" s="282"/>
      <c r="J54" s="235"/>
      <c r="K54" s="5" t="s">
        <v>101</v>
      </c>
      <c r="L54" s="5">
        <v>49</v>
      </c>
      <c r="M54" s="285"/>
      <c r="N54" s="5" t="s">
        <v>76</v>
      </c>
      <c r="O54" s="5">
        <v>5</v>
      </c>
      <c r="P54" s="294"/>
      <c r="Q54" s="285"/>
      <c r="R54" s="294"/>
      <c r="S54" s="282"/>
      <c r="T54" s="235"/>
      <c r="U54" s="294"/>
      <c r="V54" s="294"/>
      <c r="W54" s="294"/>
      <c r="X54" s="300"/>
      <c r="Y54" s="276"/>
      <c r="Z54" s="302"/>
      <c r="AA54" s="302"/>
      <c r="AB54" s="302"/>
      <c r="AC54" s="302"/>
      <c r="AD54" s="277"/>
      <c r="AE54" s="276"/>
      <c r="AF54" s="277"/>
      <c r="AG54" s="5" t="s">
        <v>330</v>
      </c>
      <c r="AH54" s="5" t="s">
        <v>331</v>
      </c>
      <c r="AI54" s="5" t="s">
        <v>332</v>
      </c>
      <c r="AJ54" s="5"/>
      <c r="AK54" s="5" t="s">
        <v>229</v>
      </c>
      <c r="AL54" s="19" t="s">
        <v>333</v>
      </c>
    </row>
    <row r="55" spans="4:38" ht="14.4" customHeight="1" x14ac:dyDescent="0.3">
      <c r="D55" s="267"/>
      <c r="E55" s="267"/>
      <c r="F55" s="267"/>
      <c r="G55" s="267"/>
      <c r="H55" s="298"/>
      <c r="I55" s="282"/>
      <c r="J55" s="235"/>
      <c r="K55" s="5" t="s">
        <v>103</v>
      </c>
      <c r="L55" s="5" t="s">
        <v>160</v>
      </c>
      <c r="M55" s="285"/>
      <c r="N55" s="5" t="s">
        <v>76</v>
      </c>
      <c r="O55" s="5" t="s">
        <v>93</v>
      </c>
      <c r="P55" s="294"/>
      <c r="Q55" s="285"/>
      <c r="R55" s="294"/>
      <c r="S55" s="282"/>
      <c r="T55" s="235"/>
      <c r="U55" s="294"/>
      <c r="V55" s="294"/>
      <c r="W55" s="294"/>
      <c r="X55" s="300"/>
      <c r="Y55" s="276"/>
      <c r="Z55" s="302"/>
      <c r="AA55" s="302"/>
      <c r="AB55" s="302"/>
      <c r="AC55" s="302"/>
      <c r="AD55" s="277"/>
      <c r="AE55" s="276"/>
      <c r="AF55" s="277"/>
      <c r="AG55" s="5" t="s">
        <v>334</v>
      </c>
      <c r="AH55" s="5" t="s">
        <v>237</v>
      </c>
      <c r="AI55" s="5" t="s">
        <v>237</v>
      </c>
      <c r="AJ55" s="5"/>
      <c r="AK55" s="5" t="s">
        <v>291</v>
      </c>
      <c r="AL55" s="19" t="s">
        <v>292</v>
      </c>
    </row>
    <row r="56" spans="4:38" ht="14.4" customHeight="1" x14ac:dyDescent="0.3">
      <c r="D56" s="267"/>
      <c r="E56" s="267"/>
      <c r="F56" s="267"/>
      <c r="G56" s="267"/>
      <c r="H56" s="298"/>
      <c r="I56" s="282"/>
      <c r="J56" s="235"/>
      <c r="K56" s="5" t="s">
        <v>105</v>
      </c>
      <c r="L56" s="5" t="s">
        <v>161</v>
      </c>
      <c r="M56" s="285"/>
      <c r="N56" s="5" t="s">
        <v>76</v>
      </c>
      <c r="O56" s="5" t="s">
        <v>93</v>
      </c>
      <c r="P56" s="294"/>
      <c r="Q56" s="285"/>
      <c r="R56" s="294"/>
      <c r="S56" s="282"/>
      <c r="T56" s="235"/>
      <c r="U56" s="294"/>
      <c r="V56" s="294"/>
      <c r="W56" s="294"/>
      <c r="X56" s="300"/>
      <c r="Y56" s="276"/>
      <c r="Z56" s="302"/>
      <c r="AA56" s="302"/>
      <c r="AB56" s="302"/>
      <c r="AC56" s="302"/>
      <c r="AD56" s="277"/>
      <c r="AE56" s="276"/>
      <c r="AF56" s="277"/>
      <c r="AG56" s="5" t="s">
        <v>335</v>
      </c>
      <c r="AH56" s="5" t="s">
        <v>336</v>
      </c>
      <c r="AI56" s="5" t="s">
        <v>337</v>
      </c>
      <c r="AJ56" s="5"/>
      <c r="AK56" s="5" t="s">
        <v>235</v>
      </c>
      <c r="AL56" s="19" t="s">
        <v>236</v>
      </c>
    </row>
    <row r="57" spans="4:38" ht="14.4" customHeight="1" x14ac:dyDescent="0.3">
      <c r="D57" s="267"/>
      <c r="E57" s="267"/>
      <c r="F57" s="267"/>
      <c r="G57" s="267"/>
      <c r="H57" s="298"/>
      <c r="I57" s="282"/>
      <c r="J57" s="235"/>
      <c r="K57" s="5" t="s">
        <v>107</v>
      </c>
      <c r="L57" s="5" t="s">
        <v>162</v>
      </c>
      <c r="M57" s="285"/>
      <c r="N57" s="5" t="s">
        <v>76</v>
      </c>
      <c r="O57" s="5" t="s">
        <v>93</v>
      </c>
      <c r="P57" s="294"/>
      <c r="Q57" s="285"/>
      <c r="R57" s="294"/>
      <c r="S57" s="282"/>
      <c r="T57" s="235"/>
      <c r="U57" s="294"/>
      <c r="V57" s="294"/>
      <c r="W57" s="294"/>
      <c r="X57" s="300"/>
      <c r="Y57" s="276"/>
      <c r="Z57" s="302"/>
      <c r="AA57" s="302"/>
      <c r="AB57" s="302"/>
      <c r="AC57" s="302"/>
      <c r="AD57" s="277"/>
      <c r="AE57" s="276"/>
      <c r="AF57" s="277"/>
      <c r="AG57" s="5" t="s">
        <v>338</v>
      </c>
      <c r="AH57" s="5" t="s">
        <v>237</v>
      </c>
      <c r="AI57" s="5" t="s">
        <v>237</v>
      </c>
      <c r="AJ57" s="5"/>
      <c r="AK57" s="5" t="s">
        <v>238</v>
      </c>
      <c r="AL57" s="19" t="s">
        <v>239</v>
      </c>
    </row>
    <row r="58" spans="4:38" ht="14.4" customHeight="1" x14ac:dyDescent="0.3">
      <c r="D58" s="267"/>
      <c r="E58" s="267"/>
      <c r="F58" s="267"/>
      <c r="G58" s="267"/>
      <c r="H58" s="298"/>
      <c r="I58" s="282"/>
      <c r="J58" s="235"/>
      <c r="K58" s="5" t="s">
        <v>109</v>
      </c>
      <c r="L58" s="5">
        <v>19</v>
      </c>
      <c r="M58" s="285"/>
      <c r="N58" s="5" t="s">
        <v>76</v>
      </c>
      <c r="O58" s="5" t="s">
        <v>93</v>
      </c>
      <c r="P58" s="294"/>
      <c r="Q58" s="285"/>
      <c r="R58" s="294"/>
      <c r="S58" s="282"/>
      <c r="T58" s="235"/>
      <c r="U58" s="294"/>
      <c r="V58" s="294"/>
      <c r="W58" s="294"/>
      <c r="X58" s="300"/>
      <c r="Y58" s="276"/>
      <c r="Z58" s="302"/>
      <c r="AA58" s="302"/>
      <c r="AB58" s="302"/>
      <c r="AC58" s="302"/>
      <c r="AD58" s="277"/>
      <c r="AE58" s="276"/>
      <c r="AF58" s="277"/>
      <c r="AG58" s="5" t="s">
        <v>339</v>
      </c>
      <c r="AH58" s="5" t="s">
        <v>237</v>
      </c>
      <c r="AI58" s="5" t="s">
        <v>237</v>
      </c>
      <c r="AJ58" s="5"/>
      <c r="AK58" s="5" t="s">
        <v>240</v>
      </c>
      <c r="AL58" s="19" t="s">
        <v>281</v>
      </c>
    </row>
    <row r="59" spans="4:38" ht="14.4" customHeight="1" x14ac:dyDescent="0.3">
      <c r="D59" s="267"/>
      <c r="E59" s="267"/>
      <c r="F59" s="267"/>
      <c r="G59" s="267"/>
      <c r="H59" s="298"/>
      <c r="I59" s="282"/>
      <c r="J59" s="235"/>
      <c r="K59" s="5" t="s">
        <v>111</v>
      </c>
      <c r="L59" s="5" t="s">
        <v>163</v>
      </c>
      <c r="M59" s="285"/>
      <c r="N59" s="5" t="s">
        <v>76</v>
      </c>
      <c r="O59" s="5" t="s">
        <v>93</v>
      </c>
      <c r="P59" s="294"/>
      <c r="Q59" s="285"/>
      <c r="R59" s="294"/>
      <c r="S59" s="282"/>
      <c r="T59" s="235"/>
      <c r="U59" s="294"/>
      <c r="V59" s="294"/>
      <c r="W59" s="294"/>
      <c r="X59" s="300"/>
      <c r="Y59" s="276"/>
      <c r="Z59" s="302"/>
      <c r="AA59" s="302"/>
      <c r="AB59" s="302"/>
      <c r="AC59" s="302"/>
      <c r="AD59" s="277"/>
      <c r="AE59" s="276"/>
      <c r="AF59" s="277"/>
      <c r="AG59" s="5" t="s">
        <v>340</v>
      </c>
      <c r="AH59" s="5" t="s">
        <v>237</v>
      </c>
      <c r="AI59" s="5" t="s">
        <v>237</v>
      </c>
      <c r="AJ59" s="5"/>
      <c r="AK59" s="5" t="s">
        <v>283</v>
      </c>
      <c r="AL59" s="19" t="s">
        <v>283</v>
      </c>
    </row>
    <row r="60" spans="4:38" ht="14.4" customHeight="1" x14ac:dyDescent="0.3">
      <c r="D60" s="267"/>
      <c r="E60" s="267"/>
      <c r="F60" s="267"/>
      <c r="G60" s="267"/>
      <c r="H60" s="298"/>
      <c r="I60" s="282"/>
      <c r="J60" s="235"/>
      <c r="K60" s="5" t="s">
        <v>113</v>
      </c>
      <c r="L60" s="5" t="s">
        <v>164</v>
      </c>
      <c r="M60" s="285"/>
      <c r="N60" s="5" t="s">
        <v>76</v>
      </c>
      <c r="O60" s="5">
        <v>5</v>
      </c>
      <c r="P60" s="294"/>
      <c r="Q60" s="285"/>
      <c r="R60" s="294"/>
      <c r="S60" s="282"/>
      <c r="T60" s="235"/>
      <c r="U60" s="294"/>
      <c r="V60" s="294"/>
      <c r="W60" s="294"/>
      <c r="X60" s="300"/>
      <c r="Y60" s="276"/>
      <c r="Z60" s="302"/>
      <c r="AA60" s="302"/>
      <c r="AB60" s="302"/>
      <c r="AC60" s="302"/>
      <c r="AD60" s="277"/>
      <c r="AE60" s="276"/>
      <c r="AF60" s="277"/>
      <c r="AG60" s="5" t="s">
        <v>222</v>
      </c>
      <c r="AH60" s="5" t="s">
        <v>237</v>
      </c>
      <c r="AI60" s="5" t="s">
        <v>237</v>
      </c>
      <c r="AJ60" s="5"/>
      <c r="AK60" s="5" t="s">
        <v>285</v>
      </c>
      <c r="AL60" s="19" t="s">
        <v>286</v>
      </c>
    </row>
    <row r="61" spans="4:38" ht="14.4" customHeight="1" x14ac:dyDescent="0.3">
      <c r="D61" s="267"/>
      <c r="E61" s="267"/>
      <c r="F61" s="267"/>
      <c r="G61" s="267"/>
      <c r="H61" s="298"/>
      <c r="I61" s="282"/>
      <c r="J61" s="235"/>
      <c r="K61" s="5" t="s">
        <v>115</v>
      </c>
      <c r="L61" s="5">
        <v>136</v>
      </c>
      <c r="M61" s="285"/>
      <c r="N61" s="5" t="s">
        <v>76</v>
      </c>
      <c r="O61" s="5">
        <v>5</v>
      </c>
      <c r="P61" s="294"/>
      <c r="Q61" s="285"/>
      <c r="R61" s="294"/>
      <c r="S61" s="282"/>
      <c r="T61" s="235"/>
      <c r="U61" s="294"/>
      <c r="V61" s="294"/>
      <c r="W61" s="294"/>
      <c r="X61" s="300"/>
      <c r="Y61" s="276"/>
      <c r="Z61" s="302"/>
      <c r="AA61" s="302"/>
      <c r="AB61" s="302"/>
      <c r="AC61" s="302"/>
      <c r="AD61" s="277"/>
      <c r="AE61" s="276"/>
      <c r="AF61" s="277"/>
      <c r="AG61" s="5" t="s">
        <v>341</v>
      </c>
      <c r="AH61" s="5" t="s">
        <v>342</v>
      </c>
      <c r="AI61" s="5" t="s">
        <v>343</v>
      </c>
      <c r="AJ61" s="5"/>
      <c r="AK61" s="5" t="s">
        <v>287</v>
      </c>
      <c r="AL61" s="19" t="s">
        <v>244</v>
      </c>
    </row>
    <row r="62" spans="4:38" ht="14.4" customHeight="1" x14ac:dyDescent="0.3">
      <c r="D62" s="267"/>
      <c r="E62" s="267"/>
      <c r="F62" s="267"/>
      <c r="G62" s="267"/>
      <c r="H62" s="298"/>
      <c r="I62" s="282"/>
      <c r="J62" s="235"/>
      <c r="K62" s="5" t="s">
        <v>117</v>
      </c>
      <c r="L62" s="5">
        <v>56</v>
      </c>
      <c r="M62" s="285"/>
      <c r="N62" s="5" t="s">
        <v>76</v>
      </c>
      <c r="O62" s="5">
        <v>5</v>
      </c>
      <c r="P62" s="294"/>
      <c r="Q62" s="285"/>
      <c r="R62" s="294"/>
      <c r="S62" s="282"/>
      <c r="T62" s="235"/>
      <c r="U62" s="294"/>
      <c r="V62" s="294"/>
      <c r="W62" s="294"/>
      <c r="X62" s="300"/>
      <c r="Y62" s="276"/>
      <c r="Z62" s="302"/>
      <c r="AA62" s="302"/>
      <c r="AB62" s="302"/>
      <c r="AC62" s="302"/>
      <c r="AD62" s="277"/>
      <c r="AE62" s="276"/>
      <c r="AF62" s="277"/>
      <c r="AG62" s="5" t="s">
        <v>344</v>
      </c>
      <c r="AH62" s="5" t="s">
        <v>345</v>
      </c>
      <c r="AI62" s="5" t="s">
        <v>346</v>
      </c>
      <c r="AJ62" s="5"/>
      <c r="AK62" s="5" t="s">
        <v>248</v>
      </c>
      <c r="AL62" s="19" t="s">
        <v>347</v>
      </c>
    </row>
    <row r="63" spans="4:38" ht="14.4" customHeight="1" x14ac:dyDescent="0.3">
      <c r="D63" s="267"/>
      <c r="E63" s="267"/>
      <c r="F63" s="267"/>
      <c r="G63" s="267"/>
      <c r="H63" s="298"/>
      <c r="I63" s="282"/>
      <c r="J63" s="235"/>
      <c r="K63" s="5" t="s">
        <v>173</v>
      </c>
      <c r="L63" s="5" t="s">
        <v>165</v>
      </c>
      <c r="M63" s="285"/>
      <c r="N63" s="5" t="s">
        <v>76</v>
      </c>
      <c r="O63" s="5">
        <v>5</v>
      </c>
      <c r="P63" s="294"/>
      <c r="Q63" s="285"/>
      <c r="R63" s="294"/>
      <c r="S63" s="282"/>
      <c r="T63" s="235"/>
      <c r="U63" s="294"/>
      <c r="V63" s="294"/>
      <c r="W63" s="294"/>
      <c r="X63" s="300"/>
      <c r="Y63" s="276"/>
      <c r="Z63" s="302"/>
      <c r="AA63" s="302"/>
      <c r="AB63" s="302"/>
      <c r="AC63" s="302"/>
      <c r="AD63" s="277"/>
      <c r="AE63" s="276"/>
      <c r="AF63" s="277"/>
      <c r="AG63" s="5" t="s">
        <v>348</v>
      </c>
      <c r="AH63" s="5" t="s">
        <v>349</v>
      </c>
      <c r="AI63" s="5" t="s">
        <v>350</v>
      </c>
      <c r="AJ63" s="5"/>
      <c r="AK63" s="5" t="s">
        <v>351</v>
      </c>
      <c r="AL63" s="19" t="s">
        <v>236</v>
      </c>
    </row>
    <row r="64" spans="4:38" ht="14.4" customHeight="1" x14ac:dyDescent="0.3">
      <c r="D64" s="267"/>
      <c r="E64" s="267"/>
      <c r="F64" s="267"/>
      <c r="G64" s="267"/>
      <c r="H64" s="298"/>
      <c r="I64" s="282"/>
      <c r="J64" s="235"/>
      <c r="K64" s="5" t="s">
        <v>119</v>
      </c>
      <c r="L64" s="5" t="s">
        <v>166</v>
      </c>
      <c r="M64" s="285"/>
      <c r="N64" s="5" t="s">
        <v>76</v>
      </c>
      <c r="O64" s="5" t="s">
        <v>93</v>
      </c>
      <c r="P64" s="294"/>
      <c r="Q64" s="285"/>
      <c r="R64" s="294"/>
      <c r="S64" s="282"/>
      <c r="T64" s="235"/>
      <c r="U64" s="294"/>
      <c r="V64" s="294"/>
      <c r="W64" s="294"/>
      <c r="X64" s="300"/>
      <c r="Y64" s="276"/>
      <c r="Z64" s="302"/>
      <c r="AA64" s="302"/>
      <c r="AB64" s="302"/>
      <c r="AC64" s="302"/>
      <c r="AD64" s="277"/>
      <c r="AE64" s="276"/>
      <c r="AF64" s="277"/>
      <c r="AG64" s="5" t="s">
        <v>246</v>
      </c>
      <c r="AH64" s="5" t="s">
        <v>352</v>
      </c>
      <c r="AI64" s="5" t="s">
        <v>353</v>
      </c>
      <c r="AJ64" s="5"/>
      <c r="AK64" s="5" t="s">
        <v>252</v>
      </c>
      <c r="AL64" s="19" t="s">
        <v>354</v>
      </c>
    </row>
    <row r="65" spans="4:38" ht="14.4" customHeight="1" x14ac:dyDescent="0.3">
      <c r="D65" s="267"/>
      <c r="E65" s="267"/>
      <c r="F65" s="267"/>
      <c r="G65" s="267"/>
      <c r="H65" s="298"/>
      <c r="I65" s="282"/>
      <c r="J65" s="235"/>
      <c r="K65" s="5" t="s">
        <v>121</v>
      </c>
      <c r="L65" s="5" t="s">
        <v>167</v>
      </c>
      <c r="M65" s="285"/>
      <c r="N65" s="5" t="s">
        <v>76</v>
      </c>
      <c r="O65" s="5">
        <v>10</v>
      </c>
      <c r="P65" s="294"/>
      <c r="Q65" s="285"/>
      <c r="R65" s="294"/>
      <c r="S65" s="282"/>
      <c r="T65" s="235"/>
      <c r="U65" s="294"/>
      <c r="V65" s="294"/>
      <c r="W65" s="294"/>
      <c r="X65" s="300"/>
      <c r="Y65" s="276"/>
      <c r="Z65" s="302"/>
      <c r="AA65" s="302"/>
      <c r="AB65" s="302"/>
      <c r="AC65" s="302"/>
      <c r="AD65" s="277"/>
      <c r="AE65" s="276"/>
      <c r="AF65" s="277"/>
      <c r="AG65" s="5" t="s">
        <v>355</v>
      </c>
      <c r="AH65" s="5" t="s">
        <v>289</v>
      </c>
      <c r="AI65" s="5" t="s">
        <v>289</v>
      </c>
      <c r="AJ65" s="5"/>
      <c r="AK65" s="5" t="s">
        <v>290</v>
      </c>
      <c r="AL65" s="19" t="s">
        <v>290</v>
      </c>
    </row>
    <row r="66" spans="4:38" ht="14.4" customHeight="1" x14ac:dyDescent="0.3">
      <c r="D66" s="267"/>
      <c r="E66" s="267"/>
      <c r="F66" s="267"/>
      <c r="G66" s="267"/>
      <c r="H66" s="298"/>
      <c r="I66" s="282"/>
      <c r="J66" s="235"/>
      <c r="K66" s="5" t="s">
        <v>123</v>
      </c>
      <c r="L66" s="5" t="s">
        <v>167</v>
      </c>
      <c r="M66" s="285"/>
      <c r="N66" s="5" t="s">
        <v>76</v>
      </c>
      <c r="O66" s="5"/>
      <c r="P66" s="294"/>
      <c r="Q66" s="285"/>
      <c r="R66" s="294"/>
      <c r="S66" s="282"/>
      <c r="T66" s="235"/>
      <c r="U66" s="294"/>
      <c r="V66" s="294"/>
      <c r="W66" s="294"/>
      <c r="X66" s="300"/>
      <c r="Y66" s="276"/>
      <c r="Z66" s="302"/>
      <c r="AA66" s="302"/>
      <c r="AB66" s="302"/>
      <c r="AC66" s="302"/>
      <c r="AD66" s="277"/>
      <c r="AE66" s="276"/>
      <c r="AF66" s="277"/>
      <c r="AG66" s="5"/>
      <c r="AH66" s="5"/>
      <c r="AI66" s="5"/>
      <c r="AJ66" s="5"/>
      <c r="AK66" s="5"/>
      <c r="AL66" s="19"/>
    </row>
    <row r="67" spans="4:38" ht="14.4" customHeight="1" x14ac:dyDescent="0.3">
      <c r="D67" s="267"/>
      <c r="E67" s="267"/>
      <c r="F67" s="267"/>
      <c r="G67" s="267"/>
      <c r="H67" s="298"/>
      <c r="I67" s="282"/>
      <c r="J67" s="235"/>
      <c r="K67" s="5" t="s">
        <v>152</v>
      </c>
      <c r="L67" s="5">
        <v>2663</v>
      </c>
      <c r="M67" s="285"/>
      <c r="N67" s="5" t="s">
        <v>126</v>
      </c>
      <c r="O67" s="5">
        <v>50</v>
      </c>
      <c r="P67" s="294"/>
      <c r="Q67" s="285"/>
      <c r="R67" s="294"/>
      <c r="S67" s="282"/>
      <c r="T67" s="235"/>
      <c r="U67" s="294"/>
      <c r="V67" s="294"/>
      <c r="W67" s="294"/>
      <c r="X67" s="300"/>
      <c r="Y67" s="276"/>
      <c r="Z67" s="302"/>
      <c r="AA67" s="302"/>
      <c r="AB67" s="302"/>
      <c r="AC67" s="302"/>
      <c r="AD67" s="277"/>
      <c r="AE67" s="276"/>
      <c r="AF67" s="277"/>
      <c r="AG67" s="5" t="s">
        <v>356</v>
      </c>
      <c r="AH67" s="5"/>
      <c r="AI67" s="5"/>
      <c r="AJ67" s="5"/>
      <c r="AK67" s="5"/>
      <c r="AL67" s="19"/>
    </row>
    <row r="68" spans="4:38" ht="14.4" customHeight="1" x14ac:dyDescent="0.3">
      <c r="D68" s="267"/>
      <c r="E68" s="267"/>
      <c r="F68" s="267"/>
      <c r="G68" s="267"/>
      <c r="H68" s="298"/>
      <c r="I68" s="282"/>
      <c r="J68" s="235"/>
      <c r="K68" s="5" t="s">
        <v>127</v>
      </c>
      <c r="L68" s="5">
        <v>368</v>
      </c>
      <c r="M68" s="285"/>
      <c r="N68" s="5" t="s">
        <v>76</v>
      </c>
      <c r="O68" s="5"/>
      <c r="P68" s="294"/>
      <c r="Q68" s="285"/>
      <c r="R68" s="294"/>
      <c r="S68" s="282"/>
      <c r="T68" s="235"/>
      <c r="U68" s="294"/>
      <c r="V68" s="294"/>
      <c r="W68" s="294"/>
      <c r="X68" s="300"/>
      <c r="Y68" s="276"/>
      <c r="Z68" s="302"/>
      <c r="AA68" s="302"/>
      <c r="AB68" s="302"/>
      <c r="AC68" s="302"/>
      <c r="AD68" s="277"/>
      <c r="AE68" s="276"/>
      <c r="AF68" s="277"/>
      <c r="AG68" s="5"/>
      <c r="AH68" s="5"/>
      <c r="AI68" s="5"/>
      <c r="AJ68" s="5"/>
      <c r="AK68" s="5"/>
      <c r="AL68" s="19"/>
    </row>
    <row r="69" spans="4:38" ht="14.4" customHeight="1" x14ac:dyDescent="0.3">
      <c r="D69" s="267"/>
      <c r="E69" s="267"/>
      <c r="F69" s="267"/>
      <c r="G69" s="267"/>
      <c r="H69" s="298"/>
      <c r="I69" s="282"/>
      <c r="J69" s="235"/>
      <c r="K69" s="5" t="s">
        <v>1258</v>
      </c>
      <c r="L69" s="5">
        <v>1687</v>
      </c>
      <c r="M69" s="285"/>
      <c r="N69" s="5" t="s">
        <v>129</v>
      </c>
      <c r="O69" s="5"/>
      <c r="P69" s="294"/>
      <c r="Q69" s="285"/>
      <c r="R69" s="294"/>
      <c r="S69" s="282"/>
      <c r="T69" s="235"/>
      <c r="U69" s="294"/>
      <c r="V69" s="294"/>
      <c r="W69" s="294"/>
      <c r="X69" s="300"/>
      <c r="Y69" s="276"/>
      <c r="Z69" s="302"/>
      <c r="AA69" s="302"/>
      <c r="AB69" s="302"/>
      <c r="AC69" s="302"/>
      <c r="AD69" s="277"/>
      <c r="AE69" s="276"/>
      <c r="AF69" s="277"/>
      <c r="AG69" s="5" t="s">
        <v>357</v>
      </c>
      <c r="AH69" s="5"/>
      <c r="AI69" s="5"/>
      <c r="AJ69" s="5"/>
      <c r="AK69" s="5"/>
      <c r="AL69" s="19"/>
    </row>
    <row r="70" spans="4:38" ht="14.4" customHeight="1" x14ac:dyDescent="0.3">
      <c r="D70" s="267"/>
      <c r="E70" s="267"/>
      <c r="F70" s="267"/>
      <c r="G70" s="267"/>
      <c r="H70" s="298"/>
      <c r="I70" s="282"/>
      <c r="J70" s="235"/>
      <c r="K70" s="5" t="s">
        <v>1259</v>
      </c>
      <c r="L70" s="5">
        <v>608</v>
      </c>
      <c r="M70" s="285"/>
      <c r="N70" s="5" t="s">
        <v>131</v>
      </c>
      <c r="O70" s="5"/>
      <c r="P70" s="294"/>
      <c r="Q70" s="285"/>
      <c r="R70" s="294"/>
      <c r="S70" s="282"/>
      <c r="T70" s="235"/>
      <c r="U70" s="294"/>
      <c r="V70" s="294"/>
      <c r="W70" s="294"/>
      <c r="X70" s="300"/>
      <c r="Y70" s="276"/>
      <c r="Z70" s="302"/>
      <c r="AA70" s="302"/>
      <c r="AB70" s="302"/>
      <c r="AC70" s="302"/>
      <c r="AD70" s="277"/>
      <c r="AE70" s="276"/>
      <c r="AF70" s="277"/>
      <c r="AG70" s="5" t="s">
        <v>196</v>
      </c>
      <c r="AH70" s="5"/>
      <c r="AI70" s="5"/>
      <c r="AJ70" s="5"/>
      <c r="AK70" s="5"/>
      <c r="AL70" s="19"/>
    </row>
    <row r="71" spans="4:38" ht="14.4" customHeight="1" x14ac:dyDescent="0.3">
      <c r="D71" s="267"/>
      <c r="E71" s="267"/>
      <c r="F71" s="267"/>
      <c r="G71" s="267"/>
      <c r="H71" s="298"/>
      <c r="I71" s="282"/>
      <c r="J71" s="235"/>
      <c r="K71" s="5" t="s">
        <v>1260</v>
      </c>
      <c r="L71" s="5">
        <v>122</v>
      </c>
      <c r="M71" s="285"/>
      <c r="N71" s="5" t="s">
        <v>133</v>
      </c>
      <c r="O71" s="5"/>
      <c r="P71" s="294"/>
      <c r="Q71" s="285"/>
      <c r="R71" s="294"/>
      <c r="S71" s="282"/>
      <c r="T71" s="235"/>
      <c r="U71" s="294"/>
      <c r="V71" s="294"/>
      <c r="W71" s="294"/>
      <c r="X71" s="300"/>
      <c r="Y71" s="276"/>
      <c r="Z71" s="302"/>
      <c r="AA71" s="302"/>
      <c r="AB71" s="302"/>
      <c r="AC71" s="302"/>
      <c r="AD71" s="277"/>
      <c r="AE71" s="276"/>
      <c r="AF71" s="277"/>
      <c r="AG71" s="5" t="s">
        <v>358</v>
      </c>
      <c r="AH71" s="5"/>
      <c r="AI71" s="5"/>
      <c r="AJ71" s="5"/>
      <c r="AK71" s="5"/>
      <c r="AL71" s="19"/>
    </row>
    <row r="72" spans="4:38" ht="15" customHeight="1" thickBot="1" x14ac:dyDescent="0.35">
      <c r="D72" s="267"/>
      <c r="E72" s="267"/>
      <c r="F72" s="149"/>
      <c r="G72" s="267"/>
      <c r="H72" s="299"/>
      <c r="I72" s="283"/>
      <c r="J72" s="235"/>
      <c r="K72" s="6" t="s">
        <v>441</v>
      </c>
      <c r="L72" s="20"/>
      <c r="M72" s="286"/>
      <c r="N72" s="20"/>
      <c r="O72" s="20"/>
      <c r="P72" s="284"/>
      <c r="Q72" s="285"/>
      <c r="R72" s="295"/>
      <c r="S72" s="234"/>
      <c r="T72" s="235"/>
      <c r="U72" s="295"/>
      <c r="V72" s="295"/>
      <c r="W72" s="295"/>
      <c r="X72" s="301"/>
      <c r="Y72" s="278"/>
      <c r="Z72" s="303"/>
      <c r="AA72" s="303"/>
      <c r="AB72" s="303"/>
      <c r="AC72" s="303"/>
      <c r="AD72" s="279"/>
      <c r="AE72" s="278"/>
      <c r="AF72" s="279"/>
      <c r="AG72" s="21" t="s">
        <v>359</v>
      </c>
      <c r="AH72" s="21" t="s">
        <v>260</v>
      </c>
      <c r="AI72" s="21" t="s">
        <v>260</v>
      </c>
      <c r="AJ72" s="21"/>
      <c r="AK72" s="21" t="s">
        <v>261</v>
      </c>
      <c r="AL72" s="22" t="s">
        <v>262</v>
      </c>
    </row>
    <row r="73" spans="4:38" ht="14.4" customHeight="1" x14ac:dyDescent="0.3">
      <c r="D73" s="148"/>
      <c r="E73" s="148"/>
      <c r="F73" s="148"/>
      <c r="G73" s="148"/>
    </row>
    <row r="74" spans="4:38" ht="14.4" customHeight="1" x14ac:dyDescent="0.3">
      <c r="D74" s="148"/>
      <c r="E74" s="148"/>
      <c r="F74" s="148"/>
      <c r="G74" s="148"/>
    </row>
    <row r="75" spans="4:38" ht="14.4" customHeight="1" x14ac:dyDescent="0.3">
      <c r="D75" s="148"/>
      <c r="E75" s="148"/>
      <c r="F75" s="148"/>
      <c r="G75" s="148"/>
    </row>
    <row r="76" spans="4:38" ht="14.4" customHeight="1" x14ac:dyDescent="0.3">
      <c r="D76" s="148"/>
      <c r="E76" s="148"/>
      <c r="F76" s="148"/>
      <c r="G76" s="148"/>
    </row>
    <row r="77" spans="4:38" ht="14.4" customHeight="1" x14ac:dyDescent="0.3">
      <c r="D77" s="148"/>
      <c r="E77" s="148"/>
      <c r="F77" s="148"/>
      <c r="G77" s="148"/>
    </row>
    <row r="78" spans="4:38" ht="14.4" customHeight="1" x14ac:dyDescent="0.3">
      <c r="D78" s="148"/>
      <c r="E78" s="148"/>
      <c r="F78" s="148"/>
      <c r="G78" s="148"/>
    </row>
    <row r="79" spans="4:38" ht="14.4" customHeight="1" x14ac:dyDescent="0.3">
      <c r="D79" s="148"/>
      <c r="E79" s="148"/>
      <c r="F79" s="148"/>
      <c r="G79" s="148"/>
    </row>
    <row r="80" spans="4:38" ht="14.4" customHeight="1" x14ac:dyDescent="0.3">
      <c r="D80" s="148"/>
      <c r="E80" s="148"/>
      <c r="F80" s="148"/>
      <c r="G80" s="148"/>
    </row>
    <row r="81" spans="4:7" ht="14.4" customHeight="1" x14ac:dyDescent="0.3">
      <c r="D81" s="148"/>
      <c r="E81" s="148"/>
      <c r="F81" s="148"/>
      <c r="G81" s="148"/>
    </row>
    <row r="82" spans="4:7" ht="14.4" customHeight="1" x14ac:dyDescent="0.3">
      <c r="D82" s="148"/>
      <c r="E82" s="148"/>
      <c r="F82" s="148"/>
      <c r="G82" s="148"/>
    </row>
    <row r="83" spans="4:7" ht="14.4" customHeight="1" x14ac:dyDescent="0.3">
      <c r="D83" s="148"/>
      <c r="E83" s="148"/>
      <c r="F83" s="148"/>
      <c r="G83" s="148"/>
    </row>
  </sheetData>
  <mergeCells count="108">
    <mergeCell ref="BN9:BN11"/>
    <mergeCell ref="AP10:AS11"/>
    <mergeCell ref="AT10:AT11"/>
    <mergeCell ref="AU10:AW11"/>
    <mergeCell ref="AX10:AY12"/>
    <mergeCell ref="AZ10:BA11"/>
    <mergeCell ref="BL11:BM11"/>
    <mergeCell ref="H9:H72"/>
    <mergeCell ref="U41:U72"/>
    <mergeCell ref="V41:V72"/>
    <mergeCell ref="W41:W72"/>
    <mergeCell ref="X41:X72"/>
    <mergeCell ref="Y41:AD72"/>
    <mergeCell ref="P24:P40"/>
    <mergeCell ref="T24:T40"/>
    <mergeCell ref="M9:M40"/>
    <mergeCell ref="P9:P23"/>
    <mergeCell ref="S41:S72"/>
    <mergeCell ref="AN13:AN15"/>
    <mergeCell ref="AO13:AO14"/>
    <mergeCell ref="AP13:AP14"/>
    <mergeCell ref="AQ13:AQ14"/>
    <mergeCell ref="AR13:AR14"/>
    <mergeCell ref="AS13:AS14"/>
    <mergeCell ref="F9:F71"/>
    <mergeCell ref="E9:E72"/>
    <mergeCell ref="D9:D72"/>
    <mergeCell ref="D5:G5"/>
    <mergeCell ref="D6:D8"/>
    <mergeCell ref="E6:E8"/>
    <mergeCell ref="F6:F8"/>
    <mergeCell ref="G6:G8"/>
    <mergeCell ref="I9:I40"/>
    <mergeCell ref="H5:R5"/>
    <mergeCell ref="P41:P72"/>
    <mergeCell ref="Q41:Q72"/>
    <mergeCell ref="R41:R72"/>
    <mergeCell ref="L7:M7"/>
    <mergeCell ref="N7:N8"/>
    <mergeCell ref="O7:O8"/>
    <mergeCell ref="P7:P8"/>
    <mergeCell ref="Q7:Q8"/>
    <mergeCell ref="D4:I4"/>
    <mergeCell ref="AN7:BN7"/>
    <mergeCell ref="AP8:AW8"/>
    <mergeCell ref="AX8:BC8"/>
    <mergeCell ref="BE8:BN8"/>
    <mergeCell ref="G9:G72"/>
    <mergeCell ref="Q9:Q40"/>
    <mergeCell ref="R9:R40"/>
    <mergeCell ref="S9:S40"/>
    <mergeCell ref="T9:T23"/>
    <mergeCell ref="U9:U40"/>
    <mergeCell ref="V9:V40"/>
    <mergeCell ref="T41:T72"/>
    <mergeCell ref="AX13:AX14"/>
    <mergeCell ref="BB13:BB14"/>
    <mergeCell ref="W9:W40"/>
    <mergeCell ref="X9:X40"/>
    <mergeCell ref="AE9:AF40"/>
    <mergeCell ref="AJ9:AJ40"/>
    <mergeCell ref="AN9:AO12"/>
    <mergeCell ref="AE41:AF72"/>
    <mergeCell ref="AP9:AS9"/>
    <mergeCell ref="I41:I72"/>
    <mergeCell ref="M41:M72"/>
    <mergeCell ref="BS5:BS7"/>
    <mergeCell ref="H6:I8"/>
    <mergeCell ref="K6:K8"/>
    <mergeCell ref="S5:W5"/>
    <mergeCell ref="Y5:AF6"/>
    <mergeCell ref="AG5:AL6"/>
    <mergeCell ref="L6:O6"/>
    <mergeCell ref="P6:Q6"/>
    <mergeCell ref="R6:R8"/>
    <mergeCell ref="S6:S8"/>
    <mergeCell ref="U6:W6"/>
    <mergeCell ref="X6:X8"/>
    <mergeCell ref="W7:W8"/>
    <mergeCell ref="Y7:Z7"/>
    <mergeCell ref="AA7:AB7"/>
    <mergeCell ref="AC7:AD7"/>
    <mergeCell ref="AE7:AF7"/>
    <mergeCell ref="AH7:AJ7"/>
    <mergeCell ref="AK7:AL7"/>
    <mergeCell ref="U7:V7"/>
    <mergeCell ref="N2:W2"/>
    <mergeCell ref="K4:O4"/>
    <mergeCell ref="Q4:AD4"/>
    <mergeCell ref="AN4:AT4"/>
    <mergeCell ref="AU4:AZ4"/>
    <mergeCell ref="BB4:BK4"/>
    <mergeCell ref="J6:J8"/>
    <mergeCell ref="J9:J40"/>
    <mergeCell ref="J41:J72"/>
    <mergeCell ref="T6:T8"/>
    <mergeCell ref="AT9:AW9"/>
    <mergeCell ref="AX9:BC9"/>
    <mergeCell ref="BE9:BM10"/>
    <mergeCell ref="BF11:BG11"/>
    <mergeCell ref="BH11:BI11"/>
    <mergeCell ref="BJ11:BK11"/>
    <mergeCell ref="AU13:AU14"/>
    <mergeCell ref="AV13:AV14"/>
    <mergeCell ref="AW13:AW14"/>
    <mergeCell ref="BB10:BC11"/>
    <mergeCell ref="BD10:BD12"/>
    <mergeCell ref="BE11:BE1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EED9-06E2-44B3-9267-F414233D62F0}">
  <sheetPr>
    <tabColor rgb="FFFFC000"/>
  </sheetPr>
  <dimension ref="B1:AI186"/>
  <sheetViews>
    <sheetView topLeftCell="O71" zoomScale="82" zoomScaleNormal="80" workbookViewId="0">
      <selection activeCell="AC88" sqref="AC88:AC95"/>
    </sheetView>
  </sheetViews>
  <sheetFormatPr defaultColWidth="9.109375" defaultRowHeight="10.199999999999999" x14ac:dyDescent="0.2"/>
  <cols>
    <col min="1" max="1" width="9.109375" style="92"/>
    <col min="2" max="2" width="13.44140625" style="92" bestFit="1" customWidth="1"/>
    <col min="3" max="3" width="12.33203125" style="92" customWidth="1"/>
    <col min="4" max="10" width="9.109375" style="92"/>
    <col min="11" max="11" width="14.5546875" style="92" bestFit="1" customWidth="1"/>
    <col min="12" max="12" width="14.6640625" style="92" customWidth="1"/>
    <col min="13" max="13" width="9.109375" style="92"/>
    <col min="14" max="14" width="22.109375" style="92" customWidth="1"/>
    <col min="15" max="15" width="20" style="92" bestFit="1" customWidth="1"/>
    <col min="16" max="16" width="12.44140625" style="92" customWidth="1"/>
    <col min="17" max="17" width="9.109375" style="92"/>
    <col min="18" max="18" width="12" style="92" customWidth="1"/>
    <col min="19" max="19" width="14.44140625" style="92" customWidth="1"/>
    <col min="20" max="20" width="9.109375" style="92" customWidth="1"/>
    <col min="21" max="22" width="9.109375" style="92"/>
    <col min="23" max="23" width="10.33203125" style="92" customWidth="1"/>
    <col min="24" max="24" width="18.44140625" style="92" bestFit="1" customWidth="1"/>
    <col min="25" max="25" width="20.5546875" style="92" bestFit="1" customWidth="1"/>
    <col min="26" max="27" width="13.44140625" style="92" bestFit="1" customWidth="1"/>
    <col min="28" max="28" width="14.5546875" style="214" bestFit="1" customWidth="1"/>
    <col min="29" max="29" width="14.5546875" style="92" customWidth="1"/>
    <col min="30" max="30" width="40.5546875" style="92" bestFit="1" customWidth="1"/>
    <col min="31" max="32" width="9.109375" style="92"/>
    <col min="33" max="33" width="12.5546875" style="92" customWidth="1"/>
    <col min="34" max="34" width="9.109375" style="92"/>
    <col min="35" max="35" width="12.44140625" style="92" bestFit="1" customWidth="1"/>
    <col min="36" max="16384" width="9.109375" style="92"/>
  </cols>
  <sheetData>
    <row r="1" spans="2:35" x14ac:dyDescent="0.2">
      <c r="AB1" s="92"/>
    </row>
    <row r="2" spans="2:35" ht="29.25" customHeight="1" x14ac:dyDescent="0.2">
      <c r="B2" s="591" t="s">
        <v>1119</v>
      </c>
      <c r="C2" s="591"/>
      <c r="D2" s="591"/>
      <c r="E2" s="591"/>
      <c r="F2" s="591"/>
      <c r="G2" s="591"/>
      <c r="H2" s="590" t="s">
        <v>1124</v>
      </c>
      <c r="I2" s="590"/>
      <c r="J2" s="590"/>
      <c r="K2" s="590"/>
      <c r="L2" s="590"/>
      <c r="M2" s="590"/>
      <c r="N2" s="590"/>
      <c r="O2" s="590"/>
      <c r="P2" s="590"/>
      <c r="Q2" s="590"/>
      <c r="R2" s="590"/>
      <c r="S2" s="590" t="s">
        <v>1140</v>
      </c>
      <c r="T2" s="590"/>
      <c r="U2" s="590"/>
      <c r="V2" s="590"/>
      <c r="W2" s="590"/>
      <c r="X2" s="590"/>
      <c r="Y2" s="91" t="s">
        <v>1006</v>
      </c>
      <c r="Z2" s="587" t="s">
        <v>66</v>
      </c>
      <c r="AA2" s="588"/>
      <c r="AB2" s="588"/>
      <c r="AC2" s="588"/>
      <c r="AD2" s="588"/>
      <c r="AE2" s="588"/>
      <c r="AF2" s="588"/>
      <c r="AG2" s="588"/>
      <c r="AH2" s="588"/>
      <c r="AI2" s="589"/>
    </row>
    <row r="3" spans="2:35" ht="32.25" customHeight="1" x14ac:dyDescent="0.2">
      <c r="B3" s="590" t="s">
        <v>1029</v>
      </c>
      <c r="C3" s="591" t="s">
        <v>1141</v>
      </c>
      <c r="D3" s="591" t="s">
        <v>1120</v>
      </c>
      <c r="E3" s="591" t="s">
        <v>1121</v>
      </c>
      <c r="F3" s="591" t="s">
        <v>1142</v>
      </c>
      <c r="G3" s="591" t="s">
        <v>1122</v>
      </c>
      <c r="H3" s="590" t="s">
        <v>4</v>
      </c>
      <c r="I3" s="590"/>
      <c r="J3" s="591" t="s">
        <v>1123</v>
      </c>
      <c r="K3" s="591" t="s">
        <v>69</v>
      </c>
      <c r="L3" s="591"/>
      <c r="M3" s="591" t="s">
        <v>70</v>
      </c>
      <c r="N3" s="591" t="s">
        <v>20</v>
      </c>
      <c r="O3" s="592" t="s">
        <v>21</v>
      </c>
      <c r="P3" s="593"/>
      <c r="Q3" s="594"/>
      <c r="R3" s="583" t="s">
        <v>74</v>
      </c>
      <c r="S3" s="591" t="s">
        <v>71</v>
      </c>
      <c r="T3" s="591" t="s">
        <v>997</v>
      </c>
      <c r="U3" s="591" t="s">
        <v>24</v>
      </c>
      <c r="V3" s="591"/>
      <c r="W3" s="591"/>
      <c r="X3" s="591"/>
      <c r="Y3" s="591" t="s">
        <v>1091</v>
      </c>
      <c r="Z3" s="599" t="s">
        <v>1152</v>
      </c>
      <c r="AA3" s="601"/>
      <c r="AB3" s="601"/>
      <c r="AC3" s="600"/>
      <c r="AD3" s="595" t="s">
        <v>1153</v>
      </c>
      <c r="AE3" s="595"/>
      <c r="AF3" s="595"/>
      <c r="AG3" s="595"/>
      <c r="AH3" s="595"/>
      <c r="AI3" s="595"/>
    </row>
    <row r="4" spans="2:35" ht="26.25" customHeight="1" x14ac:dyDescent="0.2">
      <c r="B4" s="590"/>
      <c r="C4" s="591"/>
      <c r="D4" s="591"/>
      <c r="E4" s="591"/>
      <c r="F4" s="591"/>
      <c r="G4" s="591"/>
      <c r="H4" s="590"/>
      <c r="I4" s="590"/>
      <c r="J4" s="591"/>
      <c r="K4" s="591" t="s">
        <v>1151</v>
      </c>
      <c r="L4" s="591" t="s">
        <v>1087</v>
      </c>
      <c r="M4" s="591"/>
      <c r="N4" s="591"/>
      <c r="O4" s="596" t="s">
        <v>1059</v>
      </c>
      <c r="P4" s="583" t="s">
        <v>1057</v>
      </c>
      <c r="Q4" s="582" t="s">
        <v>73</v>
      </c>
      <c r="R4" s="584"/>
      <c r="S4" s="591"/>
      <c r="T4" s="591"/>
      <c r="U4" s="591" t="s">
        <v>1046</v>
      </c>
      <c r="V4" s="591"/>
      <c r="W4" s="591"/>
      <c r="X4" s="590" t="s">
        <v>14</v>
      </c>
      <c r="Y4" s="591"/>
      <c r="Z4" s="599" t="s">
        <v>1240</v>
      </c>
      <c r="AA4" s="600"/>
      <c r="AB4" s="193" t="s">
        <v>1241</v>
      </c>
      <c r="AC4" s="193" t="s">
        <v>1242</v>
      </c>
      <c r="AD4" s="595"/>
      <c r="AE4" s="595"/>
      <c r="AF4" s="595"/>
      <c r="AG4" s="595"/>
      <c r="AH4" s="595"/>
      <c r="AI4" s="595"/>
    </row>
    <row r="5" spans="2:35" ht="29.25" customHeight="1" x14ac:dyDescent="0.2">
      <c r="B5" s="590"/>
      <c r="C5" s="591"/>
      <c r="D5" s="591"/>
      <c r="E5" s="591"/>
      <c r="F5" s="591"/>
      <c r="G5" s="591"/>
      <c r="H5" s="590"/>
      <c r="I5" s="590"/>
      <c r="J5" s="591"/>
      <c r="K5" s="591"/>
      <c r="L5" s="591"/>
      <c r="M5" s="591"/>
      <c r="N5" s="583"/>
      <c r="O5" s="597"/>
      <c r="P5" s="598"/>
      <c r="Q5" s="582"/>
      <c r="R5" s="598"/>
      <c r="S5" s="591"/>
      <c r="T5" s="591"/>
      <c r="U5" s="90" t="s">
        <v>15</v>
      </c>
      <c r="V5" s="90" t="s">
        <v>16</v>
      </c>
      <c r="W5" s="90" t="s">
        <v>1143</v>
      </c>
      <c r="X5" s="590"/>
      <c r="Y5" s="591"/>
      <c r="Z5" s="121" t="s">
        <v>1237</v>
      </c>
      <c r="AA5" s="121" t="s">
        <v>3</v>
      </c>
      <c r="AB5" s="121" t="s">
        <v>3</v>
      </c>
      <c r="AC5" s="121" t="s">
        <v>3</v>
      </c>
      <c r="AD5" s="120" t="s">
        <v>179</v>
      </c>
      <c r="AE5" s="121" t="s">
        <v>177</v>
      </c>
      <c r="AF5" s="121" t="s">
        <v>178</v>
      </c>
      <c r="AG5" s="121" t="s">
        <v>1057</v>
      </c>
      <c r="AH5" s="121" t="s">
        <v>177</v>
      </c>
      <c r="AI5" s="121" t="s">
        <v>178</v>
      </c>
    </row>
    <row r="6" spans="2:35" x14ac:dyDescent="0.2">
      <c r="B6" s="581" t="s">
        <v>1235</v>
      </c>
      <c r="C6" s="582" t="s">
        <v>1144</v>
      </c>
      <c r="D6" s="581" t="s">
        <v>1145</v>
      </c>
      <c r="E6" s="581" t="s">
        <v>1146</v>
      </c>
      <c r="F6" s="583"/>
      <c r="G6" s="581" t="s">
        <v>1147</v>
      </c>
      <c r="H6" s="548" t="s">
        <v>26</v>
      </c>
      <c r="I6" s="549"/>
      <c r="J6" s="555"/>
      <c r="K6" s="557" t="s">
        <v>1148</v>
      </c>
      <c r="L6" s="552" t="s">
        <v>845</v>
      </c>
      <c r="M6" s="557" t="s">
        <v>1090</v>
      </c>
      <c r="N6" s="94" t="s">
        <v>28</v>
      </c>
      <c r="O6" s="95">
        <v>1.26</v>
      </c>
      <c r="P6" s="96"/>
      <c r="Q6" s="93"/>
      <c r="R6" s="94">
        <v>20</v>
      </c>
      <c r="S6" s="557" t="s">
        <v>27</v>
      </c>
      <c r="T6" s="96"/>
      <c r="U6" s="96"/>
      <c r="V6" s="96"/>
      <c r="W6" s="96"/>
      <c r="X6" s="585" t="s">
        <v>1149</v>
      </c>
      <c r="Y6" s="96"/>
      <c r="Z6" s="97">
        <v>3.2400000000000001E-4</v>
      </c>
      <c r="AA6" s="97">
        <v>5.82</v>
      </c>
      <c r="AB6" s="97"/>
      <c r="AC6" s="97"/>
      <c r="AD6" s="168" t="s">
        <v>28</v>
      </c>
      <c r="AE6" s="188"/>
      <c r="AF6" s="168"/>
      <c r="AG6" s="168"/>
      <c r="AH6" s="168"/>
      <c r="AI6" s="168"/>
    </row>
    <row r="7" spans="2:35" x14ac:dyDescent="0.2">
      <c r="B7" s="581"/>
      <c r="C7" s="582"/>
      <c r="D7" s="581"/>
      <c r="E7" s="581"/>
      <c r="F7" s="584"/>
      <c r="G7" s="581"/>
      <c r="H7" s="550"/>
      <c r="I7" s="551"/>
      <c r="J7" s="556"/>
      <c r="K7" s="557"/>
      <c r="L7" s="553"/>
      <c r="M7" s="557"/>
      <c r="N7" s="94" t="s">
        <v>29</v>
      </c>
      <c r="O7" s="95">
        <v>220</v>
      </c>
      <c r="P7" s="94"/>
      <c r="Q7" s="94"/>
      <c r="R7" s="94">
        <v>2</v>
      </c>
      <c r="S7" s="557"/>
      <c r="T7" s="94"/>
      <c r="U7" s="94"/>
      <c r="V7" s="94"/>
      <c r="W7" s="94"/>
      <c r="X7" s="586"/>
      <c r="Y7" s="94"/>
      <c r="Z7" s="95">
        <v>5.1200000000000002E-8</v>
      </c>
      <c r="AA7" s="97">
        <v>5.65</v>
      </c>
      <c r="AB7" s="97"/>
      <c r="AC7" s="97"/>
      <c r="AD7" s="204" t="s">
        <v>29</v>
      </c>
      <c r="AE7" s="205">
        <v>4.7000000000000002E-3</v>
      </c>
      <c r="AF7" s="204">
        <v>407</v>
      </c>
      <c r="AG7" s="204">
        <v>1.97</v>
      </c>
      <c r="AH7" s="204">
        <v>3.16</v>
      </c>
      <c r="AI7" s="546" t="s">
        <v>1251</v>
      </c>
    </row>
    <row r="8" spans="2:35" x14ac:dyDescent="0.2">
      <c r="B8" s="581"/>
      <c r="C8" s="582"/>
      <c r="D8" s="581"/>
      <c r="E8" s="581"/>
      <c r="F8" s="584"/>
      <c r="G8" s="581"/>
      <c r="H8" s="550"/>
      <c r="I8" s="551"/>
      <c r="J8" s="556"/>
      <c r="K8" s="557"/>
      <c r="L8" s="553"/>
      <c r="M8" s="557"/>
      <c r="N8" s="94" t="s">
        <v>30</v>
      </c>
      <c r="O8" s="95">
        <v>285</v>
      </c>
      <c r="P8" s="94"/>
      <c r="Q8" s="94"/>
      <c r="R8" s="94">
        <v>150</v>
      </c>
      <c r="S8" s="557"/>
      <c r="T8" s="94"/>
      <c r="U8" s="94"/>
      <c r="V8" s="94"/>
      <c r="W8" s="94"/>
      <c r="X8" s="586"/>
      <c r="Y8" s="94"/>
      <c r="Z8" s="98"/>
      <c r="AA8" s="95">
        <v>3.1099999999999999E-3</v>
      </c>
      <c r="AB8" s="95"/>
      <c r="AC8" s="95"/>
      <c r="AD8" s="206" t="s">
        <v>30</v>
      </c>
      <c r="AE8" s="205">
        <v>24</v>
      </c>
      <c r="AF8" s="204">
        <v>10</v>
      </c>
      <c r="AG8" s="204">
        <v>3</v>
      </c>
      <c r="AH8" s="204">
        <v>2</v>
      </c>
      <c r="AI8" s="547"/>
    </row>
    <row r="9" spans="2:35" x14ac:dyDescent="0.2">
      <c r="B9" s="581"/>
      <c r="C9" s="582"/>
      <c r="D9" s="581"/>
      <c r="E9" s="581"/>
      <c r="F9" s="584"/>
      <c r="G9" s="581"/>
      <c r="H9" s="550"/>
      <c r="I9" s="551"/>
      <c r="J9" s="556"/>
      <c r="K9" s="557"/>
      <c r="L9" s="553"/>
      <c r="M9" s="557"/>
      <c r="N9" s="94" t="s">
        <v>31</v>
      </c>
      <c r="O9" s="95">
        <v>7</v>
      </c>
      <c r="P9" s="94"/>
      <c r="Q9" s="94"/>
      <c r="R9" s="94">
        <v>1</v>
      </c>
      <c r="S9" s="557"/>
      <c r="T9" s="94"/>
      <c r="U9" s="94"/>
      <c r="V9" s="161"/>
      <c r="W9" s="94"/>
      <c r="X9" s="586"/>
      <c r="Y9" s="94"/>
      <c r="Z9" s="98"/>
      <c r="AA9" s="95">
        <v>0.92</v>
      </c>
      <c r="AB9" s="95"/>
      <c r="AC9" s="95"/>
      <c r="AD9" s="168" t="s">
        <v>31</v>
      </c>
      <c r="AE9" s="189"/>
      <c r="AF9" s="168"/>
      <c r="AG9" s="168"/>
      <c r="AH9" s="168"/>
      <c r="AI9" s="168"/>
    </row>
    <row r="10" spans="2:35" x14ac:dyDescent="0.2">
      <c r="B10" s="581"/>
      <c r="C10" s="582"/>
      <c r="D10" s="581"/>
      <c r="E10" s="581"/>
      <c r="F10" s="584"/>
      <c r="G10" s="581"/>
      <c r="H10" s="550"/>
      <c r="I10" s="551"/>
      <c r="J10" s="556"/>
      <c r="K10" s="557"/>
      <c r="L10" s="553"/>
      <c r="M10" s="557"/>
      <c r="N10" s="94" t="s">
        <v>32</v>
      </c>
      <c r="O10" s="95">
        <v>6780</v>
      </c>
      <c r="P10" s="94"/>
      <c r="Q10" s="94"/>
      <c r="R10" s="94">
        <v>100</v>
      </c>
      <c r="S10" s="557"/>
      <c r="T10" s="94"/>
      <c r="U10" s="94"/>
      <c r="V10" s="94"/>
      <c r="W10" s="94"/>
      <c r="X10" s="586"/>
      <c r="Y10" s="94"/>
      <c r="Z10" s="97">
        <v>9.31E-5</v>
      </c>
      <c r="AA10" s="95">
        <v>25.5</v>
      </c>
      <c r="AB10" s="95"/>
      <c r="AC10" s="95"/>
      <c r="AD10" s="168" t="s">
        <v>32</v>
      </c>
      <c r="AE10" s="189"/>
      <c r="AF10" s="168"/>
      <c r="AG10" s="168"/>
      <c r="AH10" s="168"/>
      <c r="AI10" s="168"/>
    </row>
    <row r="11" spans="2:35" x14ac:dyDescent="0.2">
      <c r="B11" s="581"/>
      <c r="C11" s="582"/>
      <c r="D11" s="581"/>
      <c r="E11" s="581"/>
      <c r="F11" s="584"/>
      <c r="G11" s="581"/>
      <c r="H11" s="550"/>
      <c r="I11" s="551"/>
      <c r="J11" s="556"/>
      <c r="K11" s="557"/>
      <c r="L11" s="553"/>
      <c r="M11" s="557"/>
      <c r="N11" s="94" t="s">
        <v>33</v>
      </c>
      <c r="O11" s="95">
        <v>983</v>
      </c>
      <c r="P11" s="94"/>
      <c r="Q11" s="94"/>
      <c r="R11" s="94">
        <v>120</v>
      </c>
      <c r="S11" s="557"/>
      <c r="T11" s="94"/>
      <c r="U11" s="94"/>
      <c r="V11" s="94"/>
      <c r="W11" s="94"/>
      <c r="X11" s="586"/>
      <c r="Y11" s="94"/>
      <c r="Z11" s="98"/>
      <c r="AA11" s="95">
        <v>0.32300000000000001</v>
      </c>
      <c r="AB11" s="95"/>
      <c r="AC11" s="95"/>
      <c r="AD11" s="168" t="s">
        <v>33</v>
      </c>
      <c r="AE11" s="189"/>
      <c r="AF11" s="168"/>
      <c r="AG11" s="168"/>
      <c r="AH11" s="168"/>
      <c r="AI11" s="168"/>
    </row>
    <row r="12" spans="2:35" x14ac:dyDescent="0.2">
      <c r="B12" s="581"/>
      <c r="C12" s="582"/>
      <c r="D12" s="581"/>
      <c r="E12" s="581"/>
      <c r="F12" s="584"/>
      <c r="G12" s="581"/>
      <c r="H12" s="550"/>
      <c r="I12" s="551"/>
      <c r="J12" s="556"/>
      <c r="K12" s="557"/>
      <c r="L12" s="553"/>
      <c r="M12" s="557"/>
      <c r="N12" s="94" t="s">
        <v>34</v>
      </c>
      <c r="O12" s="95">
        <v>956</v>
      </c>
      <c r="P12" s="94"/>
      <c r="Q12" s="94"/>
      <c r="R12" s="94">
        <v>90</v>
      </c>
      <c r="S12" s="557"/>
      <c r="T12" s="94"/>
      <c r="U12" s="94"/>
      <c r="V12" s="94"/>
      <c r="W12" s="94"/>
      <c r="X12" s="586"/>
      <c r="Y12" s="94"/>
      <c r="Z12" s="98"/>
      <c r="AA12" s="97">
        <v>3.13</v>
      </c>
      <c r="AB12" s="97"/>
      <c r="AC12" s="97"/>
      <c r="AD12" s="168" t="s">
        <v>34</v>
      </c>
      <c r="AE12" s="188"/>
      <c r="AF12" s="168"/>
      <c r="AG12" s="168"/>
      <c r="AH12" s="168"/>
      <c r="AI12" s="168"/>
    </row>
    <row r="13" spans="2:35" x14ac:dyDescent="0.2">
      <c r="B13" s="581"/>
      <c r="C13" s="582"/>
      <c r="D13" s="581"/>
      <c r="E13" s="581"/>
      <c r="F13" s="584"/>
      <c r="G13" s="581"/>
      <c r="H13" s="550"/>
      <c r="I13" s="551"/>
      <c r="J13" s="556"/>
      <c r="K13" s="557"/>
      <c r="L13" s="553"/>
      <c r="M13" s="557"/>
      <c r="N13" s="94" t="s">
        <v>35</v>
      </c>
      <c r="O13" s="95">
        <v>2730</v>
      </c>
      <c r="P13" s="94"/>
      <c r="Q13" s="94"/>
      <c r="R13" s="94">
        <v>150</v>
      </c>
      <c r="S13" s="557"/>
      <c r="T13" s="94"/>
      <c r="U13" s="94"/>
      <c r="V13" s="94"/>
      <c r="W13" s="94"/>
      <c r="X13" s="586"/>
      <c r="Y13" s="94"/>
      <c r="Z13" s="98"/>
      <c r="AA13" s="95">
        <v>0.12</v>
      </c>
      <c r="AB13" s="95"/>
      <c r="AC13" s="95"/>
      <c r="AD13" s="168" t="s">
        <v>35</v>
      </c>
      <c r="AE13" s="189"/>
      <c r="AF13" s="168"/>
      <c r="AG13" s="168"/>
      <c r="AH13" s="168"/>
      <c r="AI13" s="168"/>
    </row>
    <row r="14" spans="2:35" x14ac:dyDescent="0.2">
      <c r="B14" s="581"/>
      <c r="C14" s="582"/>
      <c r="D14" s="581"/>
      <c r="E14" s="581"/>
      <c r="F14" s="584"/>
      <c r="G14" s="581"/>
      <c r="H14" s="550"/>
      <c r="I14" s="551"/>
      <c r="J14" s="556"/>
      <c r="K14" s="557"/>
      <c r="L14" s="553"/>
      <c r="M14" s="557"/>
      <c r="N14" s="94" t="s">
        <v>36</v>
      </c>
      <c r="O14" s="95">
        <v>69</v>
      </c>
      <c r="P14" s="94"/>
      <c r="Q14" s="94"/>
      <c r="R14" s="94">
        <v>5</v>
      </c>
      <c r="S14" s="557"/>
      <c r="T14" s="94"/>
      <c r="U14" s="94"/>
      <c r="V14" s="94"/>
      <c r="W14" s="94"/>
      <c r="X14" s="586"/>
      <c r="Y14" s="94"/>
      <c r="Z14" s="98"/>
      <c r="AA14" s="95">
        <v>4.0099999999999997E-2</v>
      </c>
      <c r="AB14" s="95"/>
      <c r="AC14" s="95"/>
      <c r="AD14" s="168" t="s">
        <v>36</v>
      </c>
      <c r="AE14" s="189"/>
      <c r="AF14" s="168"/>
      <c r="AG14" s="168"/>
      <c r="AH14" s="168"/>
      <c r="AI14" s="168"/>
    </row>
    <row r="15" spans="2:35" x14ac:dyDescent="0.2">
      <c r="B15" s="581"/>
      <c r="C15" s="582"/>
      <c r="D15" s="581"/>
      <c r="E15" s="581"/>
      <c r="F15" s="584"/>
      <c r="G15" s="581"/>
      <c r="H15" s="550"/>
      <c r="I15" s="551"/>
      <c r="J15" s="556"/>
      <c r="K15" s="557"/>
      <c r="L15" s="553"/>
      <c r="M15" s="557"/>
      <c r="N15" s="94" t="s">
        <v>37</v>
      </c>
      <c r="O15" s="95">
        <v>40</v>
      </c>
      <c r="P15" s="94"/>
      <c r="Q15" s="94"/>
      <c r="R15" s="94">
        <v>0.5</v>
      </c>
      <c r="S15" s="557"/>
      <c r="T15" s="94"/>
      <c r="U15" s="94"/>
      <c r="V15" s="94"/>
      <c r="W15" s="94"/>
      <c r="X15" s="586"/>
      <c r="Y15" s="94"/>
      <c r="Z15" s="97">
        <v>3.2700000000000002E-5</v>
      </c>
      <c r="AA15" s="98"/>
      <c r="AB15" s="98"/>
      <c r="AC15" s="98"/>
      <c r="AD15" s="168" t="s">
        <v>37</v>
      </c>
      <c r="AE15" s="190"/>
      <c r="AF15" s="168"/>
      <c r="AG15" s="168"/>
      <c r="AH15" s="168"/>
      <c r="AI15" s="168"/>
    </row>
    <row r="16" spans="2:35" x14ac:dyDescent="0.2">
      <c r="B16" s="581"/>
      <c r="C16" s="582"/>
      <c r="D16" s="581"/>
      <c r="E16" s="581"/>
      <c r="F16" s="584"/>
      <c r="G16" s="581"/>
      <c r="H16" s="550"/>
      <c r="I16" s="551"/>
      <c r="J16" s="556"/>
      <c r="K16" s="557"/>
      <c r="L16" s="553"/>
      <c r="M16" s="557"/>
      <c r="N16" s="94" t="s">
        <v>38</v>
      </c>
      <c r="O16" s="95">
        <v>36</v>
      </c>
      <c r="P16" s="94"/>
      <c r="Q16" s="94"/>
      <c r="R16" s="94">
        <v>5</v>
      </c>
      <c r="S16" s="557"/>
      <c r="T16" s="94"/>
      <c r="U16" s="94"/>
      <c r="V16" s="94"/>
      <c r="W16" s="94"/>
      <c r="X16" s="586"/>
      <c r="Y16" s="94"/>
      <c r="Z16" s="95">
        <v>2.9499999999999998E-7</v>
      </c>
      <c r="AA16" s="98"/>
      <c r="AB16" s="98"/>
      <c r="AC16" s="98"/>
      <c r="AD16" s="168" t="s">
        <v>38</v>
      </c>
      <c r="AE16" s="190"/>
      <c r="AF16" s="168"/>
      <c r="AG16" s="168"/>
      <c r="AH16" s="168"/>
      <c r="AI16" s="168"/>
    </row>
    <row r="17" spans="2:35" x14ac:dyDescent="0.2">
      <c r="B17" s="581"/>
      <c r="C17" s="582"/>
      <c r="D17" s="581"/>
      <c r="E17" s="581"/>
      <c r="F17" s="584"/>
      <c r="G17" s="581"/>
      <c r="H17" s="550"/>
      <c r="I17" s="551"/>
      <c r="J17" s="556"/>
      <c r="K17" s="557"/>
      <c r="L17" s="553"/>
      <c r="M17" s="557"/>
      <c r="N17" s="94" t="s">
        <v>63</v>
      </c>
      <c r="O17" s="95">
        <v>63</v>
      </c>
      <c r="P17" s="94"/>
      <c r="Q17" s="94"/>
      <c r="R17" s="94">
        <v>0.5</v>
      </c>
      <c r="S17" s="557"/>
      <c r="T17" s="94"/>
      <c r="U17" s="94"/>
      <c r="V17" s="94"/>
      <c r="W17" s="94"/>
      <c r="X17" s="586"/>
      <c r="Y17" s="94"/>
      <c r="Z17" s="97">
        <v>5.1600000000000001E-5</v>
      </c>
      <c r="AA17" s="98"/>
      <c r="AB17" s="98"/>
      <c r="AC17" s="98"/>
      <c r="AD17" s="168" t="s">
        <v>63</v>
      </c>
      <c r="AE17" s="190"/>
      <c r="AF17" s="168"/>
      <c r="AG17" s="168"/>
      <c r="AH17" s="168"/>
      <c r="AI17" s="168"/>
    </row>
    <row r="18" spans="2:35" x14ac:dyDescent="0.2">
      <c r="B18" s="581"/>
      <c r="C18" s="582"/>
      <c r="D18" s="581"/>
      <c r="E18" s="581"/>
      <c r="F18" s="584"/>
      <c r="G18" s="581"/>
      <c r="H18" s="550"/>
      <c r="I18" s="551"/>
      <c r="J18" s="556"/>
      <c r="K18" s="557"/>
      <c r="L18" s="553"/>
      <c r="M18" s="557"/>
      <c r="N18" s="94" t="s">
        <v>39</v>
      </c>
      <c r="O18" s="95">
        <v>12</v>
      </c>
      <c r="P18" s="94"/>
      <c r="Q18" s="94"/>
      <c r="R18" s="94">
        <v>0.5</v>
      </c>
      <c r="S18" s="557"/>
      <c r="T18" s="94"/>
      <c r="U18" s="94"/>
      <c r="V18" s="94"/>
      <c r="W18" s="94"/>
      <c r="X18" s="586"/>
      <c r="Y18" s="94"/>
      <c r="Z18" s="95">
        <v>9.8200000000000008E-7</v>
      </c>
      <c r="AA18" s="98"/>
      <c r="AB18" s="98"/>
      <c r="AC18" s="98"/>
      <c r="AD18" s="168" t="s">
        <v>39</v>
      </c>
      <c r="AE18" s="190"/>
      <c r="AF18" s="168"/>
      <c r="AG18" s="168"/>
      <c r="AH18" s="168"/>
      <c r="AI18" s="168"/>
    </row>
    <row r="19" spans="2:35" x14ac:dyDescent="0.2">
      <c r="B19" s="581"/>
      <c r="C19" s="582"/>
      <c r="D19" s="581"/>
      <c r="E19" s="581"/>
      <c r="F19" s="584"/>
      <c r="G19" s="581"/>
      <c r="H19" s="550"/>
      <c r="I19" s="551"/>
      <c r="J19" s="556"/>
      <c r="K19" s="557"/>
      <c r="L19" s="553"/>
      <c r="M19" s="557"/>
      <c r="N19" s="94" t="s">
        <v>40</v>
      </c>
      <c r="O19" s="95">
        <v>33</v>
      </c>
      <c r="P19" s="94"/>
      <c r="Q19" s="94"/>
      <c r="R19" s="94">
        <v>0.1</v>
      </c>
      <c r="S19" s="557"/>
      <c r="T19" s="94"/>
      <c r="U19" s="94"/>
      <c r="V19" s="94"/>
      <c r="W19" s="94"/>
      <c r="X19" s="586"/>
      <c r="Y19" s="94"/>
      <c r="Z19" s="97">
        <v>2.7E-4</v>
      </c>
      <c r="AA19" s="97">
        <v>1.92</v>
      </c>
      <c r="AB19" s="97"/>
      <c r="AC19" s="97"/>
      <c r="AD19" s="168" t="s">
        <v>40</v>
      </c>
      <c r="AE19" s="188"/>
      <c r="AF19" s="168"/>
      <c r="AG19" s="168"/>
      <c r="AH19" s="168"/>
      <c r="AI19" s="168"/>
    </row>
    <row r="20" spans="2:35" x14ac:dyDescent="0.2">
      <c r="B20" s="581"/>
      <c r="C20" s="582"/>
      <c r="D20" s="581"/>
      <c r="E20" s="581"/>
      <c r="F20" s="584"/>
      <c r="G20" s="581"/>
      <c r="H20" s="550"/>
      <c r="I20" s="551"/>
      <c r="J20" s="556"/>
      <c r="K20" s="557"/>
      <c r="L20" s="553"/>
      <c r="M20" s="557"/>
      <c r="N20" s="94" t="s">
        <v>1244</v>
      </c>
      <c r="O20" s="95">
        <v>31</v>
      </c>
      <c r="P20" s="94"/>
      <c r="Q20" s="94"/>
      <c r="R20" s="94">
        <v>0.1</v>
      </c>
      <c r="S20" s="557"/>
      <c r="T20" s="94"/>
      <c r="U20" s="94"/>
      <c r="V20" s="94"/>
      <c r="W20" s="94"/>
      <c r="X20" s="586"/>
      <c r="Y20" s="94"/>
      <c r="Z20" s="97">
        <v>2.5400000000000001E-5</v>
      </c>
      <c r="AA20" s="98"/>
      <c r="AB20" s="98"/>
      <c r="AC20" s="98"/>
      <c r="AD20" s="168" t="s">
        <v>1244</v>
      </c>
      <c r="AE20" s="190"/>
      <c r="AF20" s="168"/>
      <c r="AG20" s="168"/>
      <c r="AH20" s="168"/>
      <c r="AI20" s="168"/>
    </row>
    <row r="21" spans="2:35" x14ac:dyDescent="0.2">
      <c r="B21" s="581"/>
      <c r="C21" s="582"/>
      <c r="D21" s="581"/>
      <c r="E21" s="581"/>
      <c r="F21" s="584"/>
      <c r="G21" s="581"/>
      <c r="H21" s="550"/>
      <c r="I21" s="551"/>
      <c r="J21" s="556"/>
      <c r="K21" s="557"/>
      <c r="L21" s="553"/>
      <c r="M21" s="557"/>
      <c r="N21" s="94" t="s">
        <v>42</v>
      </c>
      <c r="O21" s="95">
        <v>5.4</v>
      </c>
      <c r="P21" s="94"/>
      <c r="Q21" s="94"/>
      <c r="R21" s="94">
        <v>0.1</v>
      </c>
      <c r="S21" s="557"/>
      <c r="T21" s="94"/>
      <c r="U21" s="94"/>
      <c r="V21" s="94"/>
      <c r="W21" s="94"/>
      <c r="X21" s="586"/>
      <c r="Y21" s="94"/>
      <c r="Z21" s="97">
        <v>4.4199999999999997E-5</v>
      </c>
      <c r="AA21" s="98"/>
      <c r="AB21" s="98"/>
      <c r="AC21" s="98"/>
      <c r="AD21" s="168" t="s">
        <v>42</v>
      </c>
      <c r="AE21" s="190"/>
      <c r="AF21" s="168"/>
      <c r="AG21" s="168"/>
      <c r="AH21" s="168"/>
      <c r="AI21" s="168"/>
    </row>
    <row r="22" spans="2:35" x14ac:dyDescent="0.2">
      <c r="B22" s="581"/>
      <c r="C22" s="582"/>
      <c r="D22" s="581"/>
      <c r="E22" s="581"/>
      <c r="F22" s="584"/>
      <c r="G22" s="581"/>
      <c r="H22" s="550"/>
      <c r="I22" s="551"/>
      <c r="J22" s="556"/>
      <c r="K22" s="557"/>
      <c r="L22" s="553"/>
      <c r="M22" s="557"/>
      <c r="N22" s="94" t="s">
        <v>43</v>
      </c>
      <c r="O22" s="95">
        <v>29</v>
      </c>
      <c r="P22" s="94"/>
      <c r="Q22" s="94"/>
      <c r="R22" s="94">
        <v>0.1</v>
      </c>
      <c r="S22" s="557"/>
      <c r="T22" s="94"/>
      <c r="U22" s="94"/>
      <c r="V22" s="94"/>
      <c r="W22" s="94"/>
      <c r="X22" s="586"/>
      <c r="Y22" s="94"/>
      <c r="Z22" s="98"/>
      <c r="AA22" s="95">
        <v>1.6899999999999998E-2</v>
      </c>
      <c r="AB22" s="95"/>
      <c r="AC22" s="95"/>
      <c r="AD22" s="168" t="s">
        <v>43</v>
      </c>
      <c r="AE22" s="189"/>
      <c r="AF22" s="168"/>
      <c r="AG22" s="168"/>
      <c r="AH22" s="168"/>
      <c r="AI22" s="168"/>
    </row>
    <row r="23" spans="2:35" x14ac:dyDescent="0.2">
      <c r="B23" s="581"/>
      <c r="C23" s="582"/>
      <c r="D23" s="581"/>
      <c r="E23" s="581"/>
      <c r="F23" s="584"/>
      <c r="G23" s="581"/>
      <c r="H23" s="550"/>
      <c r="I23" s="551"/>
      <c r="J23" s="556"/>
      <c r="K23" s="557"/>
      <c r="L23" s="553"/>
      <c r="M23" s="557"/>
      <c r="N23" s="94" t="s">
        <v>44</v>
      </c>
      <c r="O23" s="95">
        <v>5.3</v>
      </c>
      <c r="P23" s="94"/>
      <c r="Q23" s="94"/>
      <c r="R23" s="94">
        <v>0.1</v>
      </c>
      <c r="S23" s="557"/>
      <c r="T23" s="94"/>
      <c r="U23" s="94"/>
      <c r="V23" s="94"/>
      <c r="W23" s="94"/>
      <c r="X23" s="586"/>
      <c r="Y23" s="94"/>
      <c r="Z23" s="98"/>
      <c r="AA23" s="95">
        <v>3.0799999999999998E-3</v>
      </c>
      <c r="AB23" s="95"/>
      <c r="AC23" s="95"/>
      <c r="AD23" s="168" t="s">
        <v>44</v>
      </c>
      <c r="AE23" s="189"/>
      <c r="AF23" s="168"/>
      <c r="AG23" s="168"/>
      <c r="AH23" s="168"/>
      <c r="AI23" s="168"/>
    </row>
    <row r="24" spans="2:35" x14ac:dyDescent="0.2">
      <c r="B24" s="581"/>
      <c r="C24" s="582"/>
      <c r="D24" s="581"/>
      <c r="E24" s="581"/>
      <c r="F24" s="584"/>
      <c r="G24" s="581"/>
      <c r="H24" s="550"/>
      <c r="I24" s="551"/>
      <c r="J24" s="556"/>
      <c r="K24" s="557"/>
      <c r="L24" s="553"/>
      <c r="M24" s="557"/>
      <c r="N24" s="94" t="s">
        <v>45</v>
      </c>
      <c r="O24" s="95">
        <v>2</v>
      </c>
      <c r="P24" s="94"/>
      <c r="Q24" s="94"/>
      <c r="R24" s="94">
        <v>0.1</v>
      </c>
      <c r="S24" s="557"/>
      <c r="T24" s="94"/>
      <c r="U24" s="94"/>
      <c r="V24" s="94"/>
      <c r="W24" s="94"/>
      <c r="X24" s="586"/>
      <c r="Y24" s="94"/>
      <c r="Z24" s="97">
        <v>3.01E-4</v>
      </c>
      <c r="AA24" s="98"/>
      <c r="AB24" s="98"/>
      <c r="AC24" s="98"/>
      <c r="AD24" s="168" t="s">
        <v>45</v>
      </c>
      <c r="AE24" s="190"/>
      <c r="AF24" s="168"/>
      <c r="AG24" s="168"/>
      <c r="AH24" s="168"/>
      <c r="AI24" s="168"/>
    </row>
    <row r="25" spans="2:35" x14ac:dyDescent="0.2">
      <c r="B25" s="581"/>
      <c r="C25" s="582"/>
      <c r="D25" s="581"/>
      <c r="E25" s="581"/>
      <c r="F25" s="584"/>
      <c r="G25" s="581"/>
      <c r="H25" s="550"/>
      <c r="I25" s="551"/>
      <c r="J25" s="556"/>
      <c r="K25" s="557"/>
      <c r="L25" s="553"/>
      <c r="M25" s="557"/>
      <c r="N25" s="94" t="s">
        <v>46</v>
      </c>
      <c r="O25" s="95">
        <v>2.5</v>
      </c>
      <c r="P25" s="94"/>
      <c r="Q25" s="94"/>
      <c r="R25" s="94">
        <v>0.1</v>
      </c>
      <c r="S25" s="557"/>
      <c r="T25" s="94"/>
      <c r="U25" s="94"/>
      <c r="V25" s="94"/>
      <c r="W25" s="94"/>
      <c r="X25" s="586"/>
      <c r="Y25" s="94"/>
      <c r="Z25" s="97">
        <v>3.7599999999999998E-4</v>
      </c>
      <c r="AA25" s="98"/>
      <c r="AB25" s="98"/>
      <c r="AC25" s="98"/>
      <c r="AD25" s="168" t="s">
        <v>46</v>
      </c>
      <c r="AE25" s="190"/>
      <c r="AF25" s="168"/>
      <c r="AG25" s="168"/>
      <c r="AH25" s="168"/>
      <c r="AI25" s="168"/>
    </row>
    <row r="26" spans="2:35" x14ac:dyDescent="0.2">
      <c r="B26" s="581"/>
      <c r="C26" s="582"/>
      <c r="D26" s="581"/>
      <c r="E26" s="581"/>
      <c r="F26" s="584"/>
      <c r="G26" s="581"/>
      <c r="H26" s="550"/>
      <c r="I26" s="551"/>
      <c r="J26" s="556"/>
      <c r="K26" s="557"/>
      <c r="L26" s="553"/>
      <c r="M26" s="557"/>
      <c r="N26" s="94" t="s">
        <v>47</v>
      </c>
      <c r="O26" s="95">
        <v>11</v>
      </c>
      <c r="P26" s="94"/>
      <c r="Q26" s="94"/>
      <c r="R26" s="94">
        <v>0.1</v>
      </c>
      <c r="S26" s="557"/>
      <c r="T26" s="94"/>
      <c r="U26" s="94"/>
      <c r="V26" s="94"/>
      <c r="W26" s="94"/>
      <c r="X26" s="586"/>
      <c r="Y26" s="94"/>
      <c r="Z26" s="97">
        <v>1.65E-3</v>
      </c>
      <c r="AA26" s="98"/>
      <c r="AB26" s="98"/>
      <c r="AC26" s="98"/>
      <c r="AD26" s="168" t="s">
        <v>47</v>
      </c>
      <c r="AE26" s="190"/>
      <c r="AF26" s="168"/>
      <c r="AG26" s="168"/>
      <c r="AH26" s="168"/>
      <c r="AI26" s="168"/>
    </row>
    <row r="27" spans="2:35" x14ac:dyDescent="0.2">
      <c r="B27" s="581"/>
      <c r="C27" s="582"/>
      <c r="D27" s="581"/>
      <c r="E27" s="581"/>
      <c r="F27" s="584"/>
      <c r="G27" s="581"/>
      <c r="H27" s="550"/>
      <c r="I27" s="551"/>
      <c r="J27" s="556"/>
      <c r="K27" s="557"/>
      <c r="L27" s="553"/>
      <c r="M27" s="557"/>
      <c r="N27" s="94" t="s">
        <v>823</v>
      </c>
      <c r="O27" s="95">
        <v>110</v>
      </c>
      <c r="P27" s="94"/>
      <c r="Q27" s="94"/>
      <c r="R27" s="94">
        <v>0.06</v>
      </c>
      <c r="S27" s="557"/>
      <c r="T27" s="94"/>
      <c r="U27" s="94"/>
      <c r="V27" s="94"/>
      <c r="W27" s="94"/>
      <c r="X27" s="586"/>
      <c r="Y27" s="94"/>
      <c r="Z27" s="97">
        <v>4.95E-4</v>
      </c>
      <c r="AA27" s="98"/>
      <c r="AB27" s="98"/>
      <c r="AC27" s="98"/>
      <c r="AD27" s="168" t="s">
        <v>823</v>
      </c>
      <c r="AE27" s="190"/>
      <c r="AF27" s="168"/>
      <c r="AG27" s="168"/>
      <c r="AH27" s="168"/>
      <c r="AI27" s="168"/>
    </row>
    <row r="28" spans="2:35" x14ac:dyDescent="0.2">
      <c r="B28" s="581"/>
      <c r="C28" s="582"/>
      <c r="D28" s="581"/>
      <c r="E28" s="581"/>
      <c r="F28" s="584"/>
      <c r="G28" s="581"/>
      <c r="H28" s="550"/>
      <c r="I28" s="551"/>
      <c r="J28" s="556"/>
      <c r="K28" s="557"/>
      <c r="L28" s="553"/>
      <c r="M28" s="557"/>
      <c r="N28" s="94" t="s">
        <v>1247</v>
      </c>
      <c r="O28" s="95">
        <v>0.16</v>
      </c>
      <c r="P28" s="94"/>
      <c r="Q28" s="94"/>
      <c r="R28" s="94"/>
      <c r="S28" s="557"/>
      <c r="T28" s="94"/>
      <c r="U28" s="94"/>
      <c r="V28" s="94"/>
      <c r="W28" s="94"/>
      <c r="X28" s="586"/>
      <c r="Y28" s="94"/>
      <c r="Z28" s="97">
        <v>4.7000000000000002E-3</v>
      </c>
      <c r="AA28" s="97">
        <v>407</v>
      </c>
      <c r="AB28" s="97"/>
      <c r="AC28" s="97"/>
      <c r="AD28" s="168" t="s">
        <v>1247</v>
      </c>
      <c r="AE28" s="188"/>
      <c r="AF28" s="168"/>
      <c r="AG28" s="168"/>
      <c r="AH28" s="168"/>
      <c r="AI28" s="168"/>
    </row>
    <row r="29" spans="2:35" x14ac:dyDescent="0.2">
      <c r="B29" s="581"/>
      <c r="C29" s="582"/>
      <c r="D29" s="581"/>
      <c r="E29" s="581"/>
      <c r="F29" s="584"/>
      <c r="G29" s="581"/>
      <c r="H29" s="550"/>
      <c r="I29" s="551"/>
      <c r="J29" s="556"/>
      <c r="K29" s="557"/>
      <c r="L29" s="553"/>
      <c r="M29" s="557"/>
      <c r="N29" s="94" t="s">
        <v>59</v>
      </c>
      <c r="O29" s="95">
        <v>10.199999999999999</v>
      </c>
      <c r="P29" s="94"/>
      <c r="Q29" s="94"/>
      <c r="R29" s="94">
        <v>50</v>
      </c>
      <c r="S29" s="557"/>
      <c r="T29" s="94"/>
      <c r="U29" s="94"/>
      <c r="V29" s="94"/>
      <c r="W29" s="94"/>
      <c r="X29" s="586"/>
      <c r="Y29" s="94"/>
      <c r="Z29" s="98"/>
      <c r="AA29" s="95">
        <v>1.67E-3</v>
      </c>
      <c r="AB29" s="95"/>
      <c r="AC29" s="95"/>
      <c r="AD29" s="168" t="s">
        <v>59</v>
      </c>
      <c r="AE29" s="189"/>
      <c r="AF29" s="189"/>
      <c r="AG29" s="189"/>
      <c r="AH29" s="189"/>
      <c r="AI29" s="168"/>
    </row>
    <row r="30" spans="2:35" x14ac:dyDescent="0.2">
      <c r="B30" s="581"/>
      <c r="C30" s="582"/>
      <c r="D30" s="581"/>
      <c r="E30" s="581"/>
      <c r="F30" s="584"/>
      <c r="G30" s="581"/>
      <c r="H30" s="550"/>
      <c r="I30" s="551"/>
      <c r="J30" s="556"/>
      <c r="K30" s="557"/>
      <c r="L30" s="553"/>
      <c r="M30" s="557"/>
      <c r="N30" s="94" t="s">
        <v>60</v>
      </c>
      <c r="O30" s="95">
        <v>134</v>
      </c>
      <c r="P30" s="94"/>
      <c r="Q30" s="94"/>
      <c r="R30" s="94">
        <v>50</v>
      </c>
      <c r="S30" s="557"/>
      <c r="T30" s="94"/>
      <c r="U30" s="94"/>
      <c r="V30" s="94"/>
      <c r="W30" s="94"/>
      <c r="X30" s="586"/>
      <c r="Y30" s="94"/>
      <c r="Z30" s="98"/>
      <c r="AA30" s="95">
        <v>1.1000000000000001E-3</v>
      </c>
      <c r="AB30" s="95"/>
      <c r="AC30" s="95"/>
      <c r="AD30" s="168" t="s">
        <v>60</v>
      </c>
      <c r="AE30" s="189"/>
      <c r="AF30" s="189"/>
      <c r="AG30" s="189"/>
      <c r="AH30" s="189"/>
      <c r="AI30" s="168"/>
    </row>
    <row r="31" spans="2:35" x14ac:dyDescent="0.2">
      <c r="B31" s="581"/>
      <c r="C31" s="582"/>
      <c r="D31" s="581"/>
      <c r="E31" s="581"/>
      <c r="F31" s="584"/>
      <c r="G31" s="581"/>
      <c r="H31" s="550"/>
      <c r="I31" s="551"/>
      <c r="J31" s="556"/>
      <c r="K31" s="557"/>
      <c r="L31" s="553"/>
      <c r="M31" s="557"/>
      <c r="N31" s="94" t="s">
        <v>61</v>
      </c>
      <c r="O31" s="95">
        <v>513</v>
      </c>
      <c r="P31" s="94"/>
      <c r="Q31" s="94"/>
      <c r="R31" s="94">
        <v>50</v>
      </c>
      <c r="S31" s="557"/>
      <c r="T31" s="94"/>
      <c r="U31" s="94"/>
      <c r="V31" s="94"/>
      <c r="W31" s="94"/>
      <c r="X31" s="586"/>
      <c r="Y31" s="94"/>
      <c r="Z31" s="98"/>
      <c r="AA31" s="95">
        <v>0.28000000000000003</v>
      </c>
      <c r="AB31" s="95"/>
      <c r="AC31" s="95"/>
      <c r="AD31" s="168" t="s">
        <v>61</v>
      </c>
      <c r="AE31" s="189"/>
      <c r="AF31" s="188"/>
      <c r="AG31" s="168"/>
      <c r="AH31" s="168"/>
      <c r="AI31" s="168"/>
    </row>
    <row r="32" spans="2:35" x14ac:dyDescent="0.2">
      <c r="B32" s="581"/>
      <c r="C32" s="582"/>
      <c r="D32" s="581"/>
      <c r="E32" s="581"/>
      <c r="F32" s="584"/>
      <c r="G32" s="581"/>
      <c r="H32" s="550"/>
      <c r="I32" s="551"/>
      <c r="J32" s="556"/>
      <c r="K32" s="557"/>
      <c r="L32" s="553"/>
      <c r="M32" s="557"/>
      <c r="N32" s="94" t="s">
        <v>57</v>
      </c>
      <c r="O32" s="95">
        <v>8</v>
      </c>
      <c r="P32" s="94"/>
      <c r="Q32" s="94"/>
      <c r="R32" s="94">
        <v>10</v>
      </c>
      <c r="S32" s="557"/>
      <c r="T32" s="94"/>
      <c r="U32" s="94"/>
      <c r="V32" s="94"/>
      <c r="W32" s="94"/>
      <c r="X32" s="586"/>
      <c r="Y32" s="94"/>
      <c r="Z32" s="98"/>
      <c r="AA32" s="95">
        <v>3.2699999999999999E-3</v>
      </c>
      <c r="AB32" s="95"/>
      <c r="AC32" s="95"/>
      <c r="AD32" s="168" t="s">
        <v>57</v>
      </c>
      <c r="AE32" s="189"/>
      <c r="AF32" s="168"/>
      <c r="AG32" s="168"/>
      <c r="AH32" s="168"/>
      <c r="AI32" s="168"/>
    </row>
    <row r="33" spans="2:35" x14ac:dyDescent="0.2">
      <c r="B33" s="581"/>
      <c r="C33" s="582"/>
      <c r="D33" s="581"/>
      <c r="E33" s="581"/>
      <c r="F33" s="584"/>
      <c r="G33" s="581"/>
      <c r="H33" s="550"/>
      <c r="I33" s="551"/>
      <c r="J33" s="556"/>
      <c r="K33" s="557"/>
      <c r="L33" s="553"/>
      <c r="M33" s="557"/>
      <c r="N33" s="94" t="s">
        <v>58</v>
      </c>
      <c r="O33" s="95">
        <v>5</v>
      </c>
      <c r="P33" s="94"/>
      <c r="Q33" s="94"/>
      <c r="R33" s="94">
        <v>10</v>
      </c>
      <c r="S33" s="557"/>
      <c r="T33" s="94"/>
      <c r="U33" s="94"/>
      <c r="V33" s="94"/>
      <c r="W33" s="94"/>
      <c r="X33" s="586"/>
      <c r="Y33" s="94"/>
      <c r="Z33" s="98"/>
      <c r="AA33" s="95">
        <v>8.1899999999999994E-3</v>
      </c>
      <c r="AB33" s="95"/>
      <c r="AC33" s="95"/>
      <c r="AD33" s="168" t="s">
        <v>58</v>
      </c>
      <c r="AE33" s="189"/>
      <c r="AF33" s="168"/>
      <c r="AG33" s="168"/>
      <c r="AH33" s="168"/>
      <c r="AI33" s="168"/>
    </row>
    <row r="34" spans="2:35" x14ac:dyDescent="0.2">
      <c r="B34" s="581"/>
      <c r="C34" s="582"/>
      <c r="D34" s="581"/>
      <c r="E34" s="581"/>
      <c r="F34" s="584"/>
      <c r="G34" s="581"/>
      <c r="H34" s="550"/>
      <c r="I34" s="551"/>
      <c r="J34" s="556"/>
      <c r="K34" s="557"/>
      <c r="L34" s="553"/>
      <c r="M34" s="557"/>
      <c r="N34" s="94" t="s">
        <v>56</v>
      </c>
      <c r="O34" s="95">
        <v>3.5</v>
      </c>
      <c r="P34" s="94"/>
      <c r="Q34" s="94"/>
      <c r="R34" s="94">
        <v>1</v>
      </c>
      <c r="S34" s="557" t="s">
        <v>55</v>
      </c>
      <c r="T34" s="94"/>
      <c r="U34" s="94"/>
      <c r="V34" s="94"/>
      <c r="W34" s="94"/>
      <c r="X34" s="586"/>
      <c r="Y34" s="94"/>
      <c r="Z34" s="98"/>
      <c r="AA34" s="95">
        <v>0.23499999999999999</v>
      </c>
      <c r="AB34" s="95"/>
      <c r="AC34" s="95"/>
      <c r="AD34" s="168" t="s">
        <v>56</v>
      </c>
      <c r="AE34" s="189"/>
      <c r="AF34" s="168"/>
      <c r="AG34" s="168"/>
      <c r="AH34" s="168"/>
      <c r="AI34" s="168"/>
    </row>
    <row r="35" spans="2:35" x14ac:dyDescent="0.2">
      <c r="B35" s="581"/>
      <c r="C35" s="582"/>
      <c r="D35" s="581"/>
      <c r="E35" s="581"/>
      <c r="F35" s="584"/>
      <c r="G35" s="581"/>
      <c r="H35" s="550"/>
      <c r="I35" s="551"/>
      <c r="J35" s="556"/>
      <c r="K35" s="557"/>
      <c r="L35" s="553"/>
      <c r="M35" s="557"/>
      <c r="N35" s="94" t="s">
        <v>57</v>
      </c>
      <c r="O35" s="95">
        <v>8</v>
      </c>
      <c r="P35" s="94"/>
      <c r="Q35" s="94"/>
      <c r="R35" s="94">
        <v>10</v>
      </c>
      <c r="S35" s="557"/>
      <c r="T35" s="94"/>
      <c r="U35" s="94"/>
      <c r="V35" s="94"/>
      <c r="W35" s="94"/>
      <c r="X35" s="586"/>
      <c r="Y35" s="94"/>
      <c r="Z35" s="98"/>
      <c r="AA35" s="95">
        <v>3.3E-4</v>
      </c>
      <c r="AB35" s="95"/>
      <c r="AC35" s="95"/>
      <c r="AD35" s="168" t="s">
        <v>57</v>
      </c>
      <c r="AE35" s="189"/>
      <c r="AF35" s="168"/>
      <c r="AG35" s="168"/>
      <c r="AH35" s="168"/>
      <c r="AI35" s="168"/>
    </row>
    <row r="36" spans="2:35" x14ac:dyDescent="0.2">
      <c r="B36" s="581"/>
      <c r="C36" s="582"/>
      <c r="D36" s="581"/>
      <c r="E36" s="581"/>
      <c r="F36" s="584"/>
      <c r="G36" s="581"/>
      <c r="H36" s="550"/>
      <c r="I36" s="551"/>
      <c r="J36" s="556"/>
      <c r="K36" s="557"/>
      <c r="L36" s="553"/>
      <c r="M36" s="557"/>
      <c r="N36" s="94" t="s">
        <v>58</v>
      </c>
      <c r="O36" s="95">
        <v>5</v>
      </c>
      <c r="P36" s="94"/>
      <c r="Q36" s="94"/>
      <c r="R36" s="94">
        <v>10</v>
      </c>
      <c r="S36" s="557"/>
      <c r="T36" s="94"/>
      <c r="U36" s="94"/>
      <c r="V36" s="94"/>
      <c r="W36" s="94"/>
      <c r="X36" s="586"/>
      <c r="Y36" s="94"/>
      <c r="Z36" s="98"/>
      <c r="AA36" s="95">
        <v>1.65E-3</v>
      </c>
      <c r="AB36" s="95"/>
      <c r="AC36" s="95"/>
      <c r="AD36" s="168" t="s">
        <v>58</v>
      </c>
      <c r="AE36" s="189"/>
      <c r="AF36" s="168"/>
      <c r="AG36" s="168"/>
      <c r="AH36" s="168"/>
      <c r="AI36" s="168"/>
    </row>
    <row r="37" spans="2:35" x14ac:dyDescent="0.2">
      <c r="B37" s="581"/>
      <c r="C37" s="582"/>
      <c r="D37" s="581"/>
      <c r="E37" s="581"/>
      <c r="F37" s="584"/>
      <c r="G37" s="581"/>
      <c r="H37" s="550"/>
      <c r="I37" s="551"/>
      <c r="J37" s="556"/>
      <c r="K37" s="557"/>
      <c r="L37" s="553"/>
      <c r="M37" s="557"/>
      <c r="N37" s="94" t="s">
        <v>59</v>
      </c>
      <c r="O37" s="95">
        <v>27.4</v>
      </c>
      <c r="P37" s="94"/>
      <c r="Q37" s="94"/>
      <c r="R37" s="94">
        <v>50</v>
      </c>
      <c r="S37" s="557"/>
      <c r="T37" s="94"/>
      <c r="U37" s="94"/>
      <c r="V37" s="94"/>
      <c r="W37" s="94"/>
      <c r="X37" s="586"/>
      <c r="Y37" s="94"/>
      <c r="Z37" s="98"/>
      <c r="AA37" s="95">
        <v>1.32E-2</v>
      </c>
      <c r="AB37" s="95"/>
      <c r="AC37" s="95"/>
      <c r="AD37" s="168" t="s">
        <v>59</v>
      </c>
      <c r="AF37" s="168"/>
      <c r="AG37" s="168"/>
      <c r="AH37" s="168"/>
      <c r="AI37" s="168"/>
    </row>
    <row r="38" spans="2:35" x14ac:dyDescent="0.2">
      <c r="B38" s="581"/>
      <c r="C38" s="582"/>
      <c r="D38" s="581"/>
      <c r="E38" s="581"/>
      <c r="F38" s="584"/>
      <c r="G38" s="581"/>
      <c r="H38" s="550"/>
      <c r="I38" s="551"/>
      <c r="J38" s="556"/>
      <c r="K38" s="557"/>
      <c r="L38" s="553"/>
      <c r="M38" s="557"/>
      <c r="N38" s="94" t="s">
        <v>60</v>
      </c>
      <c r="O38" s="95">
        <v>316</v>
      </c>
      <c r="P38" s="94"/>
      <c r="Q38" s="94"/>
      <c r="R38" s="94">
        <v>50</v>
      </c>
      <c r="S38" s="557"/>
      <c r="T38" s="94"/>
      <c r="U38" s="94"/>
      <c r="V38" s="94"/>
      <c r="W38" s="94"/>
      <c r="X38" s="586"/>
      <c r="Y38" s="94"/>
      <c r="Z38" s="98"/>
      <c r="AA38" s="95">
        <v>2.4500000000000001E-2</v>
      </c>
      <c r="AB38" s="95"/>
      <c r="AC38" s="95"/>
      <c r="AD38" s="168" t="s">
        <v>60</v>
      </c>
      <c r="AF38" s="168"/>
      <c r="AG38" s="168"/>
      <c r="AH38" s="168"/>
      <c r="AI38" s="168"/>
    </row>
    <row r="39" spans="2:35" x14ac:dyDescent="0.2">
      <c r="B39" s="581"/>
      <c r="C39" s="582"/>
      <c r="D39" s="581"/>
      <c r="E39" s="581"/>
      <c r="F39" s="584"/>
      <c r="G39" s="581"/>
      <c r="H39" s="550"/>
      <c r="I39" s="551"/>
      <c r="J39" s="556"/>
      <c r="K39" s="557"/>
      <c r="L39" s="553"/>
      <c r="M39" s="557"/>
      <c r="N39" s="94" t="s">
        <v>61</v>
      </c>
      <c r="O39" s="95">
        <v>314</v>
      </c>
      <c r="P39" s="94"/>
      <c r="Q39" s="94"/>
      <c r="R39" s="94">
        <v>50</v>
      </c>
      <c r="S39" s="557"/>
      <c r="T39" s="94"/>
      <c r="U39" s="94"/>
      <c r="V39" s="94"/>
      <c r="W39" s="94"/>
      <c r="X39" s="586"/>
      <c r="Y39" s="94"/>
      <c r="Z39" s="98"/>
      <c r="AA39" s="95">
        <v>0.60399999999999998</v>
      </c>
      <c r="AB39" s="95"/>
      <c r="AC39" s="95"/>
      <c r="AD39" s="168" t="s">
        <v>61</v>
      </c>
      <c r="AE39" s="189"/>
      <c r="AF39" s="168"/>
      <c r="AG39" s="168"/>
      <c r="AH39" s="168"/>
      <c r="AI39" s="168"/>
    </row>
    <row r="40" spans="2:35" x14ac:dyDescent="0.2">
      <c r="B40" s="581"/>
      <c r="C40" s="582"/>
      <c r="D40" s="581"/>
      <c r="E40" s="581"/>
      <c r="F40" s="584"/>
      <c r="G40" s="581"/>
      <c r="H40" s="550"/>
      <c r="I40" s="551"/>
      <c r="J40" s="556"/>
      <c r="K40" s="557"/>
      <c r="L40" s="553"/>
      <c r="M40" s="557"/>
      <c r="N40" s="94" t="s">
        <v>31</v>
      </c>
      <c r="O40" s="95">
        <v>3.5</v>
      </c>
      <c r="P40" s="94"/>
      <c r="Q40" s="94"/>
      <c r="R40" s="94">
        <v>1</v>
      </c>
      <c r="S40" s="557" t="s">
        <v>62</v>
      </c>
      <c r="T40" s="94"/>
      <c r="U40" s="94"/>
      <c r="V40" s="94"/>
      <c r="W40" s="94"/>
      <c r="X40" s="586"/>
      <c r="Y40" s="94"/>
      <c r="Z40" s="98"/>
      <c r="AA40" s="97">
        <v>1.49</v>
      </c>
      <c r="AB40" s="97">
        <v>1.49</v>
      </c>
      <c r="AC40" s="97"/>
      <c r="AD40" s="168" t="s">
        <v>31</v>
      </c>
      <c r="AE40" s="188"/>
      <c r="AF40" s="168"/>
      <c r="AG40" s="168"/>
      <c r="AH40" s="168"/>
      <c r="AI40" s="168"/>
    </row>
    <row r="41" spans="2:35" x14ac:dyDescent="0.2">
      <c r="B41" s="581"/>
      <c r="C41" s="582"/>
      <c r="D41" s="581"/>
      <c r="E41" s="581"/>
      <c r="F41" s="584"/>
      <c r="G41" s="581"/>
      <c r="H41" s="550"/>
      <c r="I41" s="551"/>
      <c r="J41" s="556"/>
      <c r="K41" s="557"/>
      <c r="L41" s="553"/>
      <c r="M41" s="557"/>
      <c r="N41" s="99" t="s">
        <v>57</v>
      </c>
      <c r="O41" s="192">
        <v>8</v>
      </c>
      <c r="P41" s="94"/>
      <c r="Q41" s="94"/>
      <c r="R41" s="100">
        <v>10</v>
      </c>
      <c r="S41" s="557"/>
      <c r="T41" s="94"/>
      <c r="U41" s="94"/>
      <c r="V41" s="94"/>
      <c r="W41" s="94"/>
      <c r="X41" s="586"/>
      <c r="Y41" s="94"/>
      <c r="Z41" s="98"/>
      <c r="AA41" s="95">
        <v>1.2500000000000001E-2</v>
      </c>
      <c r="AB41" s="95">
        <v>2.8500000000000001E-2</v>
      </c>
      <c r="AC41" s="95"/>
      <c r="AD41" s="191" t="s">
        <v>57</v>
      </c>
      <c r="AE41" s="189"/>
      <c r="AF41" s="168"/>
      <c r="AG41" s="168"/>
      <c r="AH41" s="168"/>
      <c r="AI41" s="168"/>
    </row>
    <row r="42" spans="2:35" x14ac:dyDescent="0.2">
      <c r="B42" s="581"/>
      <c r="C42" s="582"/>
      <c r="D42" s="581"/>
      <c r="E42" s="581"/>
      <c r="F42" s="584"/>
      <c r="G42" s="581"/>
      <c r="H42" s="550"/>
      <c r="I42" s="551"/>
      <c r="J42" s="556"/>
      <c r="K42" s="557"/>
      <c r="L42" s="553"/>
      <c r="M42" s="557"/>
      <c r="N42" s="99" t="s">
        <v>58</v>
      </c>
      <c r="O42" s="192">
        <v>5</v>
      </c>
      <c r="P42" s="94"/>
      <c r="Q42" s="94"/>
      <c r="R42" s="100">
        <v>10</v>
      </c>
      <c r="S42" s="557"/>
      <c r="T42" s="94"/>
      <c r="U42" s="94"/>
      <c r="V42" s="94"/>
      <c r="W42" s="94"/>
      <c r="X42" s="586"/>
      <c r="Y42" s="94"/>
      <c r="Z42" s="98"/>
      <c r="AA42" s="95">
        <v>2.7900000000000001E-2</v>
      </c>
      <c r="AB42" s="95">
        <v>1.17E-2</v>
      </c>
      <c r="AC42" s="95"/>
      <c r="AD42" s="191" t="s">
        <v>58</v>
      </c>
      <c r="AE42" s="189"/>
      <c r="AF42" s="168"/>
      <c r="AG42" s="168"/>
      <c r="AH42" s="168"/>
      <c r="AI42" s="168"/>
    </row>
    <row r="43" spans="2:35" x14ac:dyDescent="0.2">
      <c r="B43" s="581"/>
      <c r="C43" s="582"/>
      <c r="D43" s="581"/>
      <c r="E43" s="581"/>
      <c r="F43" s="584"/>
      <c r="G43" s="581"/>
      <c r="H43" s="550"/>
      <c r="I43" s="551"/>
      <c r="J43" s="556"/>
      <c r="K43" s="557"/>
      <c r="L43" s="553"/>
      <c r="M43" s="557"/>
      <c r="N43" s="99" t="s">
        <v>59</v>
      </c>
      <c r="O43" s="101">
        <v>3.87</v>
      </c>
      <c r="P43" s="94"/>
      <c r="Q43" s="94"/>
      <c r="R43" s="100">
        <v>50</v>
      </c>
      <c r="S43" s="557"/>
      <c r="T43" s="94"/>
      <c r="U43" s="94"/>
      <c r="V43" s="94"/>
      <c r="W43" s="94"/>
      <c r="X43" s="586"/>
      <c r="Y43" s="94"/>
      <c r="Z43" s="98"/>
      <c r="AA43" s="95">
        <v>1.4E-2</v>
      </c>
      <c r="AB43" s="95">
        <v>2.6700000000000002E-2</v>
      </c>
      <c r="AC43" s="95"/>
      <c r="AD43" s="191" t="s">
        <v>59</v>
      </c>
      <c r="AF43" s="168"/>
      <c r="AG43" s="168"/>
      <c r="AH43" s="168"/>
      <c r="AI43" s="168"/>
    </row>
    <row r="44" spans="2:35" x14ac:dyDescent="0.2">
      <c r="B44" s="581"/>
      <c r="C44" s="582"/>
      <c r="D44" s="581"/>
      <c r="E44" s="581"/>
      <c r="F44" s="584"/>
      <c r="G44" s="581"/>
      <c r="H44" s="550"/>
      <c r="I44" s="551"/>
      <c r="J44" s="556"/>
      <c r="K44" s="557"/>
      <c r="L44" s="553"/>
      <c r="M44" s="557"/>
      <c r="N44" s="195" t="s">
        <v>60</v>
      </c>
      <c r="O44" s="196">
        <v>44.7</v>
      </c>
      <c r="P44" s="94"/>
      <c r="Q44" s="94"/>
      <c r="R44" s="197">
        <v>50</v>
      </c>
      <c r="S44" s="557"/>
      <c r="T44" s="94"/>
      <c r="U44" s="94"/>
      <c r="V44" s="94"/>
      <c r="W44" s="94"/>
      <c r="X44" s="586"/>
      <c r="Y44" s="94"/>
      <c r="Z44" s="98"/>
      <c r="AA44" s="95">
        <v>5.0099999999999998E-5</v>
      </c>
      <c r="AB44" s="95">
        <v>9.5299999999999999E-5</v>
      </c>
      <c r="AC44" s="198"/>
      <c r="AD44" s="194" t="s">
        <v>60</v>
      </c>
      <c r="AF44" s="168"/>
      <c r="AG44" s="168"/>
      <c r="AH44" s="168"/>
      <c r="AI44" s="168"/>
    </row>
    <row r="45" spans="2:35" x14ac:dyDescent="0.2">
      <c r="B45" s="581"/>
      <c r="C45" s="582"/>
      <c r="D45" s="581"/>
      <c r="E45" s="581"/>
      <c r="F45" s="584"/>
      <c r="G45" s="581"/>
      <c r="H45" s="550"/>
      <c r="I45" s="551"/>
      <c r="J45" s="556"/>
      <c r="K45" s="557"/>
      <c r="L45" s="553"/>
      <c r="M45" s="557"/>
      <c r="N45" s="195" t="s">
        <v>61</v>
      </c>
      <c r="O45" s="196">
        <v>314</v>
      </c>
      <c r="P45" s="94"/>
      <c r="Q45" s="94"/>
      <c r="R45" s="197">
        <v>50</v>
      </c>
      <c r="S45" s="557"/>
      <c r="T45" s="94"/>
      <c r="U45" s="94"/>
      <c r="V45" s="94"/>
      <c r="W45" s="94"/>
      <c r="X45" s="586"/>
      <c r="Y45" s="94"/>
      <c r="Z45" s="98"/>
      <c r="AA45" s="95">
        <v>5.4399999999999997E-2</v>
      </c>
      <c r="AB45" s="97">
        <v>1.07</v>
      </c>
      <c r="AC45" s="199"/>
      <c r="AD45" s="194" t="s">
        <v>61</v>
      </c>
      <c r="AE45" s="189"/>
      <c r="AF45" s="168"/>
      <c r="AG45" s="168"/>
      <c r="AH45" s="168"/>
      <c r="AI45" s="168"/>
    </row>
    <row r="46" spans="2:35" x14ac:dyDescent="0.2">
      <c r="B46" s="581"/>
      <c r="C46" s="582"/>
      <c r="D46" s="581"/>
      <c r="E46" s="581"/>
      <c r="F46" s="584"/>
      <c r="G46" s="581"/>
      <c r="H46" s="548" t="s">
        <v>65</v>
      </c>
      <c r="I46" s="549"/>
      <c r="J46" s="556"/>
      <c r="K46" s="557"/>
      <c r="L46" s="553"/>
      <c r="M46" s="557"/>
      <c r="N46" s="94" t="s">
        <v>31</v>
      </c>
      <c r="O46" s="95">
        <v>3.9</v>
      </c>
      <c r="P46" s="94"/>
      <c r="Q46" s="94"/>
      <c r="R46" s="94">
        <v>1</v>
      </c>
      <c r="S46" s="552" t="s">
        <v>793</v>
      </c>
      <c r="T46" s="94"/>
      <c r="U46" s="94"/>
      <c r="V46" s="94"/>
      <c r="W46" s="94"/>
      <c r="X46" s="586"/>
      <c r="Y46" s="94"/>
      <c r="Z46" s="98"/>
      <c r="AA46" s="97">
        <v>1.03</v>
      </c>
      <c r="AB46" s="97"/>
      <c r="AC46" s="97"/>
      <c r="AD46" s="94" t="s">
        <v>31</v>
      </c>
      <c r="AE46" s="168"/>
      <c r="AF46" s="168"/>
      <c r="AG46" s="168"/>
      <c r="AH46" s="168"/>
      <c r="AI46" s="168"/>
    </row>
    <row r="47" spans="2:35" x14ac:dyDescent="0.2">
      <c r="B47" s="581"/>
      <c r="C47" s="582"/>
      <c r="D47" s="581"/>
      <c r="E47" s="581"/>
      <c r="F47" s="584"/>
      <c r="G47" s="581"/>
      <c r="H47" s="550"/>
      <c r="I47" s="551"/>
      <c r="J47" s="556"/>
      <c r="K47" s="557"/>
      <c r="L47" s="553"/>
      <c r="M47" s="557"/>
      <c r="N47" s="94" t="s">
        <v>1243</v>
      </c>
      <c r="O47" s="95">
        <v>1.9</v>
      </c>
      <c r="P47" s="94"/>
      <c r="Q47" s="94"/>
      <c r="R47" s="94">
        <v>10</v>
      </c>
      <c r="S47" s="553"/>
      <c r="T47" s="94"/>
      <c r="U47" s="94"/>
      <c r="V47" s="94"/>
      <c r="W47" s="94"/>
      <c r="X47" s="586"/>
      <c r="Y47" s="94"/>
      <c r="Z47" s="98"/>
      <c r="AA47" s="95">
        <v>1.1999999999999999E-3</v>
      </c>
      <c r="AB47" s="95"/>
      <c r="AC47" s="95"/>
      <c r="AD47" s="94" t="s">
        <v>1243</v>
      </c>
      <c r="AE47" s="168"/>
      <c r="AF47" s="168"/>
      <c r="AG47" s="168"/>
      <c r="AH47" s="168"/>
      <c r="AI47" s="168"/>
    </row>
    <row r="48" spans="2:35" x14ac:dyDescent="0.2">
      <c r="B48" s="581"/>
      <c r="C48" s="582"/>
      <c r="D48" s="581"/>
      <c r="E48" s="581"/>
      <c r="F48" s="584"/>
      <c r="G48" s="581"/>
      <c r="H48" s="550"/>
      <c r="I48" s="551"/>
      <c r="J48" s="556"/>
      <c r="K48" s="557"/>
      <c r="L48" s="553"/>
      <c r="M48" s="557"/>
      <c r="N48" s="94" t="s">
        <v>59</v>
      </c>
      <c r="O48" s="95">
        <v>147</v>
      </c>
      <c r="P48" s="94"/>
      <c r="Q48" s="94"/>
      <c r="R48" s="94">
        <v>50</v>
      </c>
      <c r="S48" s="553"/>
      <c r="T48" s="94"/>
      <c r="U48" s="94"/>
      <c r="V48" s="94"/>
      <c r="W48" s="94"/>
      <c r="X48" s="586"/>
      <c r="Y48" s="94"/>
      <c r="Z48" s="98"/>
      <c r="AA48" s="95">
        <v>0.26400000000000001</v>
      </c>
      <c r="AB48" s="95"/>
      <c r="AC48" s="95"/>
      <c r="AD48" s="94" t="s">
        <v>59</v>
      </c>
      <c r="AE48" s="168"/>
      <c r="AF48" s="168"/>
      <c r="AG48" s="168"/>
      <c r="AH48" s="168"/>
      <c r="AI48" s="168"/>
    </row>
    <row r="49" spans="2:35" x14ac:dyDescent="0.2">
      <c r="B49" s="581"/>
      <c r="C49" s="582"/>
      <c r="D49" s="581"/>
      <c r="E49" s="581"/>
      <c r="F49" s="584"/>
      <c r="G49" s="581"/>
      <c r="H49" s="550"/>
      <c r="I49" s="551"/>
      <c r="J49" s="556"/>
      <c r="K49" s="557"/>
      <c r="L49" s="553"/>
      <c r="M49" s="557"/>
      <c r="N49" s="94" t="s">
        <v>60</v>
      </c>
      <c r="O49" s="95">
        <v>1180</v>
      </c>
      <c r="P49" s="94"/>
      <c r="Q49" s="94"/>
      <c r="R49" s="94">
        <v>50</v>
      </c>
      <c r="S49" s="553"/>
      <c r="T49" s="94"/>
      <c r="U49" s="94"/>
      <c r="V49" s="94"/>
      <c r="W49" s="94"/>
      <c r="X49" s="586"/>
      <c r="Y49" s="94"/>
      <c r="Z49" s="98"/>
      <c r="AA49" s="95">
        <v>1.29E-2</v>
      </c>
      <c r="AB49" s="95"/>
      <c r="AC49" s="95"/>
      <c r="AD49" s="94" t="s">
        <v>60</v>
      </c>
      <c r="AE49" s="168"/>
      <c r="AF49" s="168"/>
      <c r="AG49" s="168"/>
      <c r="AH49" s="168"/>
      <c r="AI49" s="168"/>
    </row>
    <row r="50" spans="2:35" x14ac:dyDescent="0.2">
      <c r="B50" s="581"/>
      <c r="C50" s="582"/>
      <c r="D50" s="581"/>
      <c r="E50" s="581"/>
      <c r="F50" s="584"/>
      <c r="G50" s="581"/>
      <c r="H50" s="550"/>
      <c r="I50" s="551"/>
      <c r="J50" s="556"/>
      <c r="K50" s="557"/>
      <c r="L50" s="553"/>
      <c r="M50" s="557"/>
      <c r="N50" s="94" t="s">
        <v>61</v>
      </c>
      <c r="O50" s="95">
        <v>6250</v>
      </c>
      <c r="P50" s="94"/>
      <c r="Q50" s="94"/>
      <c r="R50" s="94">
        <v>50</v>
      </c>
      <c r="S50" s="554"/>
      <c r="T50" s="94"/>
      <c r="U50" s="94"/>
      <c r="V50" s="94"/>
      <c r="W50" s="94"/>
      <c r="X50" s="586"/>
      <c r="Y50" s="94"/>
      <c r="Z50" s="98"/>
      <c r="AA50" s="97">
        <v>1.23</v>
      </c>
      <c r="AB50" s="97"/>
      <c r="AC50" s="97"/>
      <c r="AD50" s="94" t="s">
        <v>61</v>
      </c>
      <c r="AE50" s="168"/>
      <c r="AF50" s="168"/>
      <c r="AG50" s="168"/>
      <c r="AH50" s="168"/>
      <c r="AI50" s="168"/>
    </row>
    <row r="51" spans="2:35" x14ac:dyDescent="0.2">
      <c r="B51" s="581"/>
      <c r="C51" s="582"/>
      <c r="D51" s="581"/>
      <c r="E51" s="581"/>
      <c r="F51" s="584"/>
      <c r="G51" s="581"/>
      <c r="H51" s="550"/>
      <c r="I51" s="551"/>
      <c r="J51" s="556"/>
      <c r="K51" s="557"/>
      <c r="L51" s="553"/>
      <c r="M51" s="557"/>
      <c r="N51" s="94" t="s">
        <v>31</v>
      </c>
      <c r="O51" s="95">
        <v>3.9</v>
      </c>
      <c r="P51" s="94"/>
      <c r="Q51" s="94"/>
      <c r="R51" s="94">
        <v>1</v>
      </c>
      <c r="S51" s="552" t="s">
        <v>794</v>
      </c>
      <c r="T51" s="94"/>
      <c r="U51" s="94"/>
      <c r="V51" s="94"/>
      <c r="W51" s="94"/>
      <c r="X51" s="586"/>
      <c r="Y51" s="94"/>
      <c r="Z51" s="98"/>
      <c r="AA51" s="97">
        <v>1.57</v>
      </c>
      <c r="AB51" s="97"/>
      <c r="AC51" s="97"/>
      <c r="AD51" s="168" t="s">
        <v>31</v>
      </c>
      <c r="AE51" s="168"/>
      <c r="AF51" s="168"/>
      <c r="AG51" s="168"/>
      <c r="AH51" s="168"/>
      <c r="AI51" s="168"/>
    </row>
    <row r="52" spans="2:35" x14ac:dyDescent="0.2">
      <c r="B52" s="581"/>
      <c r="C52" s="582"/>
      <c r="D52" s="581"/>
      <c r="E52" s="581"/>
      <c r="F52" s="584"/>
      <c r="G52" s="581"/>
      <c r="H52" s="550"/>
      <c r="I52" s="551"/>
      <c r="J52" s="556"/>
      <c r="K52" s="557"/>
      <c r="L52" s="553"/>
      <c r="M52" s="557"/>
      <c r="N52" s="94" t="s">
        <v>1243</v>
      </c>
      <c r="O52" s="95">
        <v>1.9</v>
      </c>
      <c r="P52" s="94"/>
      <c r="Q52" s="94"/>
      <c r="R52" s="94">
        <v>10</v>
      </c>
      <c r="S52" s="553"/>
      <c r="T52" s="94"/>
      <c r="U52" s="94"/>
      <c r="V52" s="94"/>
      <c r="W52" s="94"/>
      <c r="X52" s="586"/>
      <c r="Y52" s="94"/>
      <c r="Z52" s="98"/>
      <c r="AA52" s="95">
        <v>3.6499999999999998E-2</v>
      </c>
      <c r="AB52" s="95"/>
      <c r="AC52" s="95"/>
      <c r="AD52" s="168" t="s">
        <v>1243</v>
      </c>
      <c r="AE52" s="168"/>
      <c r="AF52" s="168"/>
      <c r="AG52" s="168"/>
      <c r="AH52" s="168"/>
      <c r="AI52" s="168"/>
    </row>
    <row r="53" spans="2:35" x14ac:dyDescent="0.2">
      <c r="B53" s="581"/>
      <c r="C53" s="582"/>
      <c r="D53" s="581"/>
      <c r="E53" s="581"/>
      <c r="F53" s="584"/>
      <c r="G53" s="581"/>
      <c r="H53" s="550"/>
      <c r="I53" s="551"/>
      <c r="J53" s="556"/>
      <c r="K53" s="557"/>
      <c r="L53" s="553"/>
      <c r="M53" s="557"/>
      <c r="N53" s="99" t="s">
        <v>59</v>
      </c>
      <c r="O53" s="101">
        <v>147</v>
      </c>
      <c r="P53" s="94"/>
      <c r="Q53" s="94"/>
      <c r="R53" s="100">
        <v>50</v>
      </c>
      <c r="S53" s="553"/>
      <c r="T53" s="94"/>
      <c r="U53" s="94"/>
      <c r="V53" s="94"/>
      <c r="W53" s="94"/>
      <c r="X53" s="586"/>
      <c r="Y53" s="94"/>
      <c r="Z53" s="98"/>
      <c r="AA53" s="95">
        <v>0.16</v>
      </c>
      <c r="AB53" s="95"/>
      <c r="AC53" s="97">
        <v>3.16</v>
      </c>
      <c r="AD53" s="168" t="s">
        <v>59</v>
      </c>
      <c r="AE53" s="168"/>
      <c r="AF53" s="168"/>
      <c r="AG53" s="168"/>
      <c r="AH53" s="168"/>
      <c r="AI53" s="168"/>
    </row>
    <row r="54" spans="2:35" x14ac:dyDescent="0.2">
      <c r="B54" s="581"/>
      <c r="C54" s="582"/>
      <c r="D54" s="581"/>
      <c r="E54" s="581"/>
      <c r="F54" s="584"/>
      <c r="G54" s="581"/>
      <c r="H54" s="550"/>
      <c r="I54" s="551"/>
      <c r="J54" s="556"/>
      <c r="K54" s="557"/>
      <c r="L54" s="553"/>
      <c r="M54" s="557"/>
      <c r="N54" s="99" t="s">
        <v>60</v>
      </c>
      <c r="O54" s="101">
        <v>1180</v>
      </c>
      <c r="P54" s="94"/>
      <c r="Q54" s="94"/>
      <c r="R54" s="100">
        <v>50</v>
      </c>
      <c r="S54" s="553"/>
      <c r="T54" s="94"/>
      <c r="U54" s="94"/>
      <c r="V54" s="94"/>
      <c r="W54" s="94"/>
      <c r="X54" s="586"/>
      <c r="Y54" s="94"/>
      <c r="Z54" s="98"/>
      <c r="AA54" s="95">
        <v>1.6999999999999999E-3</v>
      </c>
      <c r="AB54" s="95"/>
      <c r="AC54" s="95">
        <v>3.3399999999999999E-2</v>
      </c>
      <c r="AD54" s="168" t="s">
        <v>60</v>
      </c>
      <c r="AE54" s="168"/>
      <c r="AF54" s="168"/>
      <c r="AG54" s="168"/>
      <c r="AH54" s="168"/>
      <c r="AI54" s="168"/>
    </row>
    <row r="55" spans="2:35" x14ac:dyDescent="0.2">
      <c r="B55" s="581"/>
      <c r="C55" s="582"/>
      <c r="D55" s="581"/>
      <c r="E55" s="581"/>
      <c r="F55" s="584"/>
      <c r="G55" s="581"/>
      <c r="H55" s="550"/>
      <c r="I55" s="551"/>
      <c r="J55" s="556"/>
      <c r="K55" s="557"/>
      <c r="L55" s="553"/>
      <c r="M55" s="557"/>
      <c r="N55" s="99" t="s">
        <v>61</v>
      </c>
      <c r="O55" s="101">
        <v>6250</v>
      </c>
      <c r="P55" s="94"/>
      <c r="Q55" s="94"/>
      <c r="R55" s="100">
        <v>50</v>
      </c>
      <c r="S55" s="553"/>
      <c r="T55" s="94"/>
      <c r="U55" s="94"/>
      <c r="V55" s="94"/>
      <c r="W55" s="94"/>
      <c r="X55" s="586"/>
      <c r="Y55" s="94"/>
      <c r="Z55" s="98"/>
      <c r="AA55" s="95">
        <v>0.26100000000000001</v>
      </c>
      <c r="AB55" s="95"/>
      <c r="AC55" s="97">
        <v>2.65</v>
      </c>
      <c r="AD55" s="168" t="s">
        <v>61</v>
      </c>
      <c r="AE55" s="168"/>
      <c r="AF55" s="168"/>
      <c r="AG55" s="168"/>
      <c r="AH55" s="168"/>
      <c r="AI55" s="168"/>
    </row>
    <row r="56" spans="2:35" ht="15" customHeight="1" x14ac:dyDescent="0.2">
      <c r="B56" s="564" t="s">
        <v>1236</v>
      </c>
      <c r="C56" s="579" t="s">
        <v>1144</v>
      </c>
      <c r="D56" s="565" t="s">
        <v>1145</v>
      </c>
      <c r="E56" s="565" t="s">
        <v>1146</v>
      </c>
      <c r="F56" s="572"/>
      <c r="G56" s="572"/>
      <c r="H56" s="564" t="s">
        <v>26</v>
      </c>
      <c r="I56" s="564"/>
      <c r="J56" s="572"/>
      <c r="K56" s="565" t="s">
        <v>1148</v>
      </c>
      <c r="L56" s="558" t="s">
        <v>845</v>
      </c>
      <c r="M56" s="565" t="s">
        <v>1090</v>
      </c>
      <c r="N56" s="102" t="s">
        <v>32</v>
      </c>
      <c r="O56" s="103">
        <v>132</v>
      </c>
      <c r="P56" s="102"/>
      <c r="Q56" s="102"/>
      <c r="R56" s="102">
        <v>100</v>
      </c>
      <c r="S56" s="564" t="s">
        <v>27</v>
      </c>
      <c r="T56" s="102"/>
      <c r="U56" s="102"/>
      <c r="V56" s="102"/>
      <c r="W56" s="102"/>
      <c r="X56" s="579" t="s">
        <v>1149</v>
      </c>
      <c r="Y56" s="102"/>
      <c r="Z56" s="104">
        <v>1.81E-6</v>
      </c>
      <c r="AA56" s="103">
        <v>0.496</v>
      </c>
      <c r="AB56" s="103"/>
      <c r="AC56" s="103"/>
      <c r="AD56" s="168" t="s">
        <v>32</v>
      </c>
      <c r="AE56" s="189"/>
      <c r="AF56" s="168"/>
      <c r="AG56" s="168"/>
      <c r="AH56" s="168"/>
      <c r="AI56" s="168"/>
    </row>
    <row r="57" spans="2:35" x14ac:dyDescent="0.2">
      <c r="B57" s="564"/>
      <c r="C57" s="566"/>
      <c r="D57" s="580"/>
      <c r="E57" s="580"/>
      <c r="F57" s="559"/>
      <c r="G57" s="559"/>
      <c r="H57" s="564"/>
      <c r="I57" s="564"/>
      <c r="J57" s="559"/>
      <c r="K57" s="566"/>
      <c r="L57" s="559"/>
      <c r="M57" s="566"/>
      <c r="N57" s="102" t="s">
        <v>35</v>
      </c>
      <c r="O57" s="103">
        <v>535</v>
      </c>
      <c r="P57" s="102"/>
      <c r="Q57" s="102"/>
      <c r="R57" s="102">
        <v>150</v>
      </c>
      <c r="S57" s="564"/>
      <c r="T57" s="102"/>
      <c r="U57" s="102"/>
      <c r="V57" s="102"/>
      <c r="W57" s="102"/>
      <c r="X57" s="566"/>
      <c r="Y57" s="102"/>
      <c r="Z57" s="105"/>
      <c r="AA57" s="103">
        <v>2.3400000000000001E-2</v>
      </c>
      <c r="AB57" s="103"/>
      <c r="AC57" s="103"/>
      <c r="AD57" s="168" t="s">
        <v>35</v>
      </c>
      <c r="AE57" s="189"/>
      <c r="AF57" s="168"/>
      <c r="AG57" s="168"/>
      <c r="AH57" s="168"/>
      <c r="AI57" s="168"/>
    </row>
    <row r="58" spans="2:35" x14ac:dyDescent="0.2">
      <c r="B58" s="564"/>
      <c r="C58" s="566"/>
      <c r="D58" s="580"/>
      <c r="E58" s="580"/>
      <c r="F58" s="559"/>
      <c r="G58" s="559"/>
      <c r="H58" s="564"/>
      <c r="I58" s="564"/>
      <c r="J58" s="559"/>
      <c r="K58" s="566"/>
      <c r="L58" s="559"/>
      <c r="M58" s="566"/>
      <c r="N58" s="102" t="s">
        <v>37</v>
      </c>
      <c r="O58" s="103">
        <v>3.2</v>
      </c>
      <c r="P58" s="102"/>
      <c r="Q58" s="102"/>
      <c r="R58" s="102">
        <v>0.5</v>
      </c>
      <c r="S58" s="564"/>
      <c r="T58" s="102"/>
      <c r="U58" s="102"/>
      <c r="V58" s="102"/>
      <c r="W58" s="102"/>
      <c r="X58" s="566"/>
      <c r="Y58" s="102"/>
      <c r="Z58" s="104">
        <v>2.6199999999999999E-6</v>
      </c>
      <c r="AA58" s="105"/>
      <c r="AB58" s="105"/>
      <c r="AC58" s="105"/>
      <c r="AD58" s="168" t="s">
        <v>37</v>
      </c>
      <c r="AE58" s="190"/>
      <c r="AF58" s="168"/>
      <c r="AG58" s="168"/>
      <c r="AH58" s="168"/>
      <c r="AI58" s="168"/>
    </row>
    <row r="59" spans="2:35" x14ac:dyDescent="0.2">
      <c r="B59" s="564"/>
      <c r="C59" s="566"/>
      <c r="D59" s="580"/>
      <c r="E59" s="580"/>
      <c r="F59" s="559"/>
      <c r="G59" s="559"/>
      <c r="H59" s="564"/>
      <c r="I59" s="564"/>
      <c r="J59" s="559"/>
      <c r="K59" s="566"/>
      <c r="L59" s="559"/>
      <c r="M59" s="566"/>
      <c r="N59" s="102" t="s">
        <v>63</v>
      </c>
      <c r="O59" s="103">
        <v>5.7</v>
      </c>
      <c r="P59" s="102"/>
      <c r="Q59" s="102"/>
      <c r="R59" s="102">
        <v>0.5</v>
      </c>
      <c r="S59" s="564"/>
      <c r="T59" s="102"/>
      <c r="U59" s="102"/>
      <c r="V59" s="102"/>
      <c r="W59" s="102"/>
      <c r="X59" s="566"/>
      <c r="Y59" s="102"/>
      <c r="Z59" s="104">
        <v>4.6700000000000002E-6</v>
      </c>
      <c r="AA59" s="105"/>
      <c r="AB59" s="105"/>
      <c r="AC59" s="105"/>
      <c r="AD59" s="168" t="s">
        <v>63</v>
      </c>
      <c r="AE59" s="190"/>
      <c r="AF59" s="168"/>
      <c r="AG59" s="168"/>
      <c r="AH59" s="168"/>
      <c r="AI59" s="168"/>
    </row>
    <row r="60" spans="2:35" x14ac:dyDescent="0.2">
      <c r="B60" s="564"/>
      <c r="C60" s="566"/>
      <c r="D60" s="580"/>
      <c r="E60" s="580"/>
      <c r="F60" s="559"/>
      <c r="G60" s="559"/>
      <c r="H60" s="564"/>
      <c r="I60" s="564"/>
      <c r="J60" s="559"/>
      <c r="K60" s="566"/>
      <c r="L60" s="559"/>
      <c r="M60" s="566"/>
      <c r="N60" s="102" t="s">
        <v>39</v>
      </c>
      <c r="O60" s="103">
        <v>1.1000000000000001</v>
      </c>
      <c r="P60" s="102"/>
      <c r="Q60" s="102"/>
      <c r="R60" s="102">
        <v>0.5</v>
      </c>
      <c r="S60" s="564"/>
      <c r="T60" s="102"/>
      <c r="U60" s="102"/>
      <c r="V60" s="102"/>
      <c r="W60" s="102"/>
      <c r="X60" s="566"/>
      <c r="Y60" s="102"/>
      <c r="Z60" s="103">
        <v>9.0100000000000006E-8</v>
      </c>
      <c r="AA60" s="105"/>
      <c r="AB60" s="105"/>
      <c r="AC60" s="105"/>
      <c r="AD60" s="168" t="s">
        <v>39</v>
      </c>
      <c r="AE60" s="190"/>
      <c r="AF60" s="168"/>
      <c r="AG60" s="168"/>
      <c r="AH60" s="168"/>
      <c r="AI60" s="168"/>
    </row>
    <row r="61" spans="2:35" x14ac:dyDescent="0.2">
      <c r="B61" s="564"/>
      <c r="C61" s="566"/>
      <c r="D61" s="580"/>
      <c r="E61" s="580"/>
      <c r="F61" s="559"/>
      <c r="G61" s="559"/>
      <c r="H61" s="564"/>
      <c r="I61" s="564"/>
      <c r="J61" s="559"/>
      <c r="K61" s="566"/>
      <c r="L61" s="559"/>
      <c r="M61" s="566"/>
      <c r="N61" s="102" t="s">
        <v>40</v>
      </c>
      <c r="O61" s="103">
        <v>2.2999999999999998</v>
      </c>
      <c r="P61" s="102"/>
      <c r="Q61" s="102"/>
      <c r="R61" s="102">
        <v>0.1</v>
      </c>
      <c r="S61" s="564"/>
      <c r="T61" s="102"/>
      <c r="U61" s="102"/>
      <c r="V61" s="102"/>
      <c r="W61" s="102"/>
      <c r="X61" s="566"/>
      <c r="Y61" s="102"/>
      <c r="Z61" s="104">
        <v>1.88E-5</v>
      </c>
      <c r="AA61" s="103">
        <v>0.13400000000000001</v>
      </c>
      <c r="AB61" s="103"/>
      <c r="AC61" s="103"/>
      <c r="AD61" s="168" t="s">
        <v>40</v>
      </c>
      <c r="AE61" s="189"/>
      <c r="AF61" s="168"/>
      <c r="AG61" s="168"/>
      <c r="AH61" s="168"/>
      <c r="AI61" s="168"/>
    </row>
    <row r="62" spans="2:35" x14ac:dyDescent="0.2">
      <c r="B62" s="564"/>
      <c r="C62" s="566"/>
      <c r="D62" s="580"/>
      <c r="E62" s="580"/>
      <c r="F62" s="559"/>
      <c r="G62" s="559"/>
      <c r="H62" s="564"/>
      <c r="I62" s="564"/>
      <c r="J62" s="559"/>
      <c r="K62" s="566"/>
      <c r="L62" s="559"/>
      <c r="M62" s="566"/>
      <c r="N62" s="102" t="s">
        <v>1244</v>
      </c>
      <c r="O62" s="103">
        <v>2.2999999999999998</v>
      </c>
      <c r="P62" s="102"/>
      <c r="Q62" s="102"/>
      <c r="R62" s="102">
        <v>0.1</v>
      </c>
      <c r="S62" s="564"/>
      <c r="T62" s="102"/>
      <c r="U62" s="102"/>
      <c r="V62" s="102"/>
      <c r="W62" s="102"/>
      <c r="X62" s="566"/>
      <c r="Y62" s="102"/>
      <c r="Z62" s="104">
        <v>1.88E-6</v>
      </c>
      <c r="AA62" s="105"/>
      <c r="AB62" s="105"/>
      <c r="AC62" s="105"/>
      <c r="AD62" s="168" t="s">
        <v>1244</v>
      </c>
      <c r="AE62" s="190"/>
      <c r="AF62" s="168"/>
      <c r="AG62" s="168"/>
      <c r="AH62" s="168"/>
      <c r="AI62" s="168"/>
    </row>
    <row r="63" spans="2:35" x14ac:dyDescent="0.2">
      <c r="B63" s="564"/>
      <c r="C63" s="566"/>
      <c r="D63" s="580"/>
      <c r="E63" s="580"/>
      <c r="F63" s="559"/>
      <c r="G63" s="559"/>
      <c r="H63" s="564"/>
      <c r="I63" s="564"/>
      <c r="J63" s="559"/>
      <c r="K63" s="566"/>
      <c r="L63" s="559"/>
      <c r="M63" s="566"/>
      <c r="N63" s="102" t="s">
        <v>42</v>
      </c>
      <c r="O63" s="103">
        <v>0.17</v>
      </c>
      <c r="P63" s="102"/>
      <c r="Q63" s="102"/>
      <c r="R63" s="102">
        <v>0.1</v>
      </c>
      <c r="S63" s="564"/>
      <c r="T63" s="102"/>
      <c r="U63" s="102"/>
      <c r="V63" s="102"/>
      <c r="W63" s="102"/>
      <c r="X63" s="566"/>
      <c r="Y63" s="102"/>
      <c r="Z63" s="104">
        <v>1.39E-6</v>
      </c>
      <c r="AA63" s="105"/>
      <c r="AB63" s="105"/>
      <c r="AC63" s="105"/>
      <c r="AD63" s="168" t="s">
        <v>42</v>
      </c>
      <c r="AE63" s="190"/>
      <c r="AF63" s="168"/>
      <c r="AG63" s="168"/>
      <c r="AH63" s="168"/>
      <c r="AI63" s="168"/>
    </row>
    <row r="64" spans="2:35" x14ac:dyDescent="0.2">
      <c r="B64" s="564"/>
      <c r="C64" s="566"/>
      <c r="D64" s="580"/>
      <c r="E64" s="580"/>
      <c r="F64" s="559"/>
      <c r="G64" s="559"/>
      <c r="H64" s="564"/>
      <c r="I64" s="564"/>
      <c r="J64" s="559"/>
      <c r="K64" s="566"/>
      <c r="L64" s="559"/>
      <c r="M64" s="566"/>
      <c r="N64" s="102" t="s">
        <v>43</v>
      </c>
      <c r="O64" s="103">
        <v>2.1</v>
      </c>
      <c r="P64" s="102"/>
      <c r="Q64" s="102"/>
      <c r="R64" s="102">
        <v>0.1</v>
      </c>
      <c r="S64" s="564"/>
      <c r="T64" s="102"/>
      <c r="U64" s="102"/>
      <c r="V64" s="102"/>
      <c r="W64" s="102"/>
      <c r="X64" s="566"/>
      <c r="Y64" s="102"/>
      <c r="Z64" s="105"/>
      <c r="AA64" s="103">
        <v>1.2199999999999999E-3</v>
      </c>
      <c r="AB64" s="103"/>
      <c r="AC64" s="103"/>
      <c r="AD64" s="168" t="s">
        <v>43</v>
      </c>
      <c r="AE64" s="189"/>
      <c r="AF64" s="168"/>
      <c r="AG64" s="168"/>
      <c r="AH64" s="168"/>
      <c r="AI64" s="168"/>
    </row>
    <row r="65" spans="2:35" x14ac:dyDescent="0.2">
      <c r="B65" s="564"/>
      <c r="C65" s="566"/>
      <c r="D65" s="580"/>
      <c r="E65" s="580"/>
      <c r="F65" s="559"/>
      <c r="G65" s="559"/>
      <c r="H65" s="564"/>
      <c r="I65" s="564"/>
      <c r="J65" s="559"/>
      <c r="K65" s="566"/>
      <c r="L65" s="559"/>
      <c r="M65" s="566"/>
      <c r="N65" s="102" t="s">
        <v>44</v>
      </c>
      <c r="O65" s="103">
        <v>0.52</v>
      </c>
      <c r="P65" s="102"/>
      <c r="Q65" s="102"/>
      <c r="R65" s="102">
        <v>0.1</v>
      </c>
      <c r="S65" s="564"/>
      <c r="T65" s="102"/>
      <c r="U65" s="102"/>
      <c r="V65" s="102"/>
      <c r="W65" s="102"/>
      <c r="X65" s="566"/>
      <c r="Y65" s="102"/>
      <c r="Z65" s="105"/>
      <c r="AA65" s="103">
        <v>3.0200000000000002E-4</v>
      </c>
      <c r="AB65" s="103"/>
      <c r="AC65" s="103"/>
      <c r="AD65" s="168" t="s">
        <v>44</v>
      </c>
      <c r="AE65" s="189"/>
      <c r="AF65" s="168"/>
      <c r="AG65" s="168"/>
      <c r="AH65" s="168"/>
      <c r="AI65" s="168"/>
    </row>
    <row r="66" spans="2:35" x14ac:dyDescent="0.2">
      <c r="B66" s="564"/>
      <c r="C66" s="566"/>
      <c r="D66" s="580"/>
      <c r="E66" s="580"/>
      <c r="F66" s="559"/>
      <c r="G66" s="559"/>
      <c r="H66" s="564"/>
      <c r="I66" s="564"/>
      <c r="J66" s="559"/>
      <c r="K66" s="566"/>
      <c r="L66" s="559"/>
      <c r="M66" s="566"/>
      <c r="N66" s="102" t="s">
        <v>45</v>
      </c>
      <c r="O66" s="103">
        <v>0.16</v>
      </c>
      <c r="P66" s="102"/>
      <c r="Q66" s="102"/>
      <c r="R66" s="102">
        <v>0.1</v>
      </c>
      <c r="S66" s="564"/>
      <c r="T66" s="102"/>
      <c r="U66" s="102"/>
      <c r="V66" s="102"/>
      <c r="W66" s="102"/>
      <c r="X66" s="566"/>
      <c r="Y66" s="102"/>
      <c r="Z66" s="104">
        <v>2.41E-5</v>
      </c>
      <c r="AA66" s="105"/>
      <c r="AB66" s="105"/>
      <c r="AC66" s="105"/>
      <c r="AD66" s="168" t="s">
        <v>45</v>
      </c>
      <c r="AE66" s="190"/>
      <c r="AF66" s="168"/>
      <c r="AG66" s="168"/>
      <c r="AH66" s="168"/>
      <c r="AI66" s="168"/>
    </row>
    <row r="67" spans="2:35" x14ac:dyDescent="0.2">
      <c r="B67" s="564"/>
      <c r="C67" s="566"/>
      <c r="D67" s="580"/>
      <c r="E67" s="580"/>
      <c r="F67" s="559"/>
      <c r="G67" s="559"/>
      <c r="H67" s="564"/>
      <c r="I67" s="564"/>
      <c r="J67" s="559"/>
      <c r="K67" s="566"/>
      <c r="L67" s="559"/>
      <c r="M67" s="566"/>
      <c r="N67" s="102" t="s">
        <v>46</v>
      </c>
      <c r="O67" s="103">
        <v>0.26</v>
      </c>
      <c r="P67" s="102"/>
      <c r="Q67" s="102"/>
      <c r="R67" s="102">
        <v>0.1</v>
      </c>
      <c r="S67" s="564"/>
      <c r="T67" s="102"/>
      <c r="U67" s="102"/>
      <c r="V67" s="102"/>
      <c r="W67" s="102"/>
      <c r="X67" s="566"/>
      <c r="Y67" s="102"/>
      <c r="Z67" s="104">
        <v>3.9100000000000002E-5</v>
      </c>
      <c r="AA67" s="105"/>
      <c r="AB67" s="105"/>
      <c r="AC67" s="105"/>
      <c r="AD67" s="168" t="s">
        <v>46</v>
      </c>
      <c r="AE67" s="190"/>
      <c r="AF67" s="168"/>
      <c r="AG67" s="168"/>
      <c r="AH67" s="168"/>
      <c r="AI67" s="168"/>
    </row>
    <row r="68" spans="2:35" x14ac:dyDescent="0.2">
      <c r="B68" s="564"/>
      <c r="C68" s="566"/>
      <c r="D68" s="580"/>
      <c r="E68" s="580"/>
      <c r="F68" s="559"/>
      <c r="G68" s="559"/>
      <c r="H68" s="564"/>
      <c r="I68" s="564"/>
      <c r="J68" s="559"/>
      <c r="K68" s="566"/>
      <c r="L68" s="559"/>
      <c r="M68" s="566"/>
      <c r="N68" s="102" t="s">
        <v>47</v>
      </c>
      <c r="O68" s="103">
        <v>1</v>
      </c>
      <c r="P68" s="102"/>
      <c r="Q68" s="102"/>
      <c r="R68" s="102">
        <v>0.1</v>
      </c>
      <c r="S68" s="564"/>
      <c r="T68" s="102"/>
      <c r="U68" s="102"/>
      <c r="V68" s="102"/>
      <c r="W68" s="102"/>
      <c r="X68" s="566"/>
      <c r="Y68" s="102"/>
      <c r="Z68" s="104">
        <v>1.4999999999999999E-4</v>
      </c>
      <c r="AA68" s="105"/>
      <c r="AB68" s="105"/>
      <c r="AC68" s="105"/>
      <c r="AD68" s="168" t="s">
        <v>47</v>
      </c>
      <c r="AE68" s="190"/>
      <c r="AF68" s="168"/>
      <c r="AG68" s="168"/>
      <c r="AH68" s="168"/>
      <c r="AI68" s="168"/>
    </row>
    <row r="69" spans="2:35" x14ac:dyDescent="0.2">
      <c r="B69" s="564"/>
      <c r="C69" s="566"/>
      <c r="D69" s="580"/>
      <c r="E69" s="580"/>
      <c r="F69" s="559"/>
      <c r="G69" s="559"/>
      <c r="H69" s="564"/>
      <c r="I69" s="564"/>
      <c r="J69" s="559"/>
      <c r="K69" s="566"/>
      <c r="L69" s="559"/>
      <c r="M69" s="566"/>
      <c r="N69" s="102" t="s">
        <v>823</v>
      </c>
      <c r="O69" s="103">
        <v>2.9</v>
      </c>
      <c r="P69" s="102"/>
      <c r="Q69" s="102"/>
      <c r="R69" s="102">
        <v>0.06</v>
      </c>
      <c r="S69" s="564"/>
      <c r="T69" s="102"/>
      <c r="U69" s="102"/>
      <c r="V69" s="102"/>
      <c r="W69" s="102"/>
      <c r="X69" s="566"/>
      <c r="Y69" s="102"/>
      <c r="Z69" s="104">
        <v>1.31E-5</v>
      </c>
      <c r="AA69" s="105"/>
      <c r="AB69" s="105"/>
      <c r="AC69" s="105"/>
      <c r="AD69" s="168" t="s">
        <v>823</v>
      </c>
      <c r="AE69" s="190"/>
      <c r="AF69" s="168"/>
      <c r="AG69" s="168"/>
      <c r="AH69" s="168"/>
      <c r="AI69" s="168"/>
    </row>
    <row r="70" spans="2:35" x14ac:dyDescent="0.2">
      <c r="B70" s="564"/>
      <c r="C70" s="566"/>
      <c r="D70" s="580"/>
      <c r="E70" s="580"/>
      <c r="F70" s="559"/>
      <c r="G70" s="559"/>
      <c r="H70" s="564"/>
      <c r="I70" s="564"/>
      <c r="J70" s="559"/>
      <c r="K70" s="566"/>
      <c r="L70" s="559"/>
      <c r="M70" s="566"/>
      <c r="N70" s="102" t="s">
        <v>1248</v>
      </c>
      <c r="O70" s="103">
        <v>1.8100000000000001E-4</v>
      </c>
      <c r="P70" s="102"/>
      <c r="Q70" s="102"/>
      <c r="R70" s="102"/>
      <c r="S70" s="564"/>
      <c r="T70" s="102"/>
      <c r="U70" s="102"/>
      <c r="V70" s="102"/>
      <c r="W70" s="102"/>
      <c r="X70" s="566"/>
      <c r="Y70" s="102"/>
      <c r="Z70" s="104">
        <v>5.3000000000000001E-6</v>
      </c>
      <c r="AA70" s="103">
        <v>0.45900000000000002</v>
      </c>
      <c r="AB70" s="103"/>
      <c r="AC70" s="103"/>
      <c r="AD70" s="168" t="s">
        <v>1248</v>
      </c>
      <c r="AE70" s="189"/>
      <c r="AF70" s="168"/>
      <c r="AG70" s="168"/>
      <c r="AH70" s="168"/>
      <c r="AI70" s="168"/>
    </row>
    <row r="71" spans="2:35" x14ac:dyDescent="0.2">
      <c r="B71" s="564"/>
      <c r="C71" s="566"/>
      <c r="D71" s="580"/>
      <c r="E71" s="580"/>
      <c r="F71" s="559"/>
      <c r="G71" s="559"/>
      <c r="H71" s="564"/>
      <c r="I71" s="564"/>
      <c r="J71" s="559"/>
      <c r="K71" s="566"/>
      <c r="L71" s="559"/>
      <c r="M71" s="566"/>
      <c r="N71" s="102" t="s">
        <v>59</v>
      </c>
      <c r="O71" s="103">
        <v>6.76</v>
      </c>
      <c r="P71" s="102"/>
      <c r="Q71" s="102"/>
      <c r="R71" s="102">
        <v>50</v>
      </c>
      <c r="S71" s="564"/>
      <c r="T71" s="102"/>
      <c r="U71" s="102"/>
      <c r="V71" s="102"/>
      <c r="W71" s="102"/>
      <c r="X71" s="566"/>
      <c r="Y71" s="102"/>
      <c r="Z71" s="105"/>
      <c r="AA71" s="103">
        <v>1.1100000000000001E-3</v>
      </c>
      <c r="AB71" s="103"/>
      <c r="AC71" s="103"/>
      <c r="AD71" s="168" t="s">
        <v>59</v>
      </c>
      <c r="AE71" s="189"/>
      <c r="AF71" s="168"/>
      <c r="AG71" s="168"/>
      <c r="AH71" s="168"/>
      <c r="AI71" s="168"/>
    </row>
    <row r="72" spans="2:35" x14ac:dyDescent="0.2">
      <c r="B72" s="564"/>
      <c r="C72" s="566"/>
      <c r="D72" s="580"/>
      <c r="E72" s="580"/>
      <c r="F72" s="559"/>
      <c r="G72" s="559"/>
      <c r="H72" s="564"/>
      <c r="I72" s="564"/>
      <c r="J72" s="559"/>
      <c r="K72" s="566"/>
      <c r="L72" s="559"/>
      <c r="M72" s="566"/>
      <c r="N72" s="102" t="s">
        <v>60</v>
      </c>
      <c r="O72" s="103">
        <v>82.6</v>
      </c>
      <c r="P72" s="102"/>
      <c r="Q72" s="102"/>
      <c r="R72" s="102">
        <v>50</v>
      </c>
      <c r="S72" s="564"/>
      <c r="T72" s="102"/>
      <c r="U72" s="102"/>
      <c r="V72" s="102"/>
      <c r="W72" s="102"/>
      <c r="X72" s="566"/>
      <c r="Y72" s="102"/>
      <c r="Z72" s="105"/>
      <c r="AA72" s="103">
        <v>6.7599999999999995E-4</v>
      </c>
      <c r="AB72" s="103"/>
      <c r="AC72" s="103"/>
      <c r="AD72" s="168" t="s">
        <v>60</v>
      </c>
      <c r="AE72" s="189"/>
      <c r="AF72" s="168"/>
      <c r="AG72" s="168"/>
      <c r="AH72" s="168"/>
      <c r="AI72" s="168"/>
    </row>
    <row r="73" spans="2:35" x14ac:dyDescent="0.2">
      <c r="B73" s="564"/>
      <c r="C73" s="566"/>
      <c r="D73" s="580"/>
      <c r="E73" s="580"/>
      <c r="F73" s="559"/>
      <c r="G73" s="559"/>
      <c r="H73" s="564"/>
      <c r="I73" s="564"/>
      <c r="J73" s="559"/>
      <c r="K73" s="566"/>
      <c r="L73" s="559"/>
      <c r="M73" s="566"/>
      <c r="N73" s="102" t="s">
        <v>61</v>
      </c>
      <c r="O73" s="103">
        <v>169</v>
      </c>
      <c r="P73" s="102"/>
      <c r="Q73" s="102"/>
      <c r="R73" s="102">
        <v>50</v>
      </c>
      <c r="S73" s="564"/>
      <c r="T73" s="102"/>
      <c r="U73" s="102"/>
      <c r="V73" s="102"/>
      <c r="W73" s="102"/>
      <c r="X73" s="566"/>
      <c r="Y73" s="102"/>
      <c r="Z73" s="105"/>
      <c r="AA73" s="103">
        <v>9.1999999999999998E-2</v>
      </c>
      <c r="AB73" s="103"/>
      <c r="AC73" s="103"/>
      <c r="AD73" s="92" t="s">
        <v>61</v>
      </c>
      <c r="AI73" s="168"/>
    </row>
    <row r="74" spans="2:35" x14ac:dyDescent="0.2">
      <c r="B74" s="564"/>
      <c r="C74" s="566"/>
      <c r="D74" s="580"/>
      <c r="E74" s="580"/>
      <c r="F74" s="559"/>
      <c r="G74" s="559"/>
      <c r="H74" s="564"/>
      <c r="I74" s="564"/>
      <c r="J74" s="559"/>
      <c r="K74" s="566"/>
      <c r="L74" s="559"/>
      <c r="M74" s="566"/>
      <c r="N74" s="106" t="s">
        <v>59</v>
      </c>
      <c r="O74" s="107">
        <v>7.09</v>
      </c>
      <c r="P74" s="102"/>
      <c r="Q74" s="102"/>
      <c r="R74" s="108">
        <v>50</v>
      </c>
      <c r="S74" s="564" t="s">
        <v>793</v>
      </c>
      <c r="T74" s="102"/>
      <c r="U74" s="102"/>
      <c r="V74" s="103"/>
      <c r="W74" s="102"/>
      <c r="X74" s="566"/>
      <c r="Y74" s="102"/>
      <c r="Z74" s="105"/>
      <c r="AA74" s="103">
        <v>1.23E-3</v>
      </c>
      <c r="AB74" s="103">
        <f>0.000135</f>
        <v>1.35E-4</v>
      </c>
      <c r="AC74" s="103">
        <v>2.8600000000000001E-3</v>
      </c>
      <c r="AD74" s="92" t="s">
        <v>59</v>
      </c>
      <c r="AI74" s="168"/>
    </row>
    <row r="75" spans="2:35" x14ac:dyDescent="0.2">
      <c r="B75" s="564"/>
      <c r="C75" s="566"/>
      <c r="D75" s="580"/>
      <c r="E75" s="580"/>
      <c r="F75" s="559"/>
      <c r="G75" s="559"/>
      <c r="H75" s="564"/>
      <c r="I75" s="564"/>
      <c r="J75" s="559"/>
      <c r="K75" s="566"/>
      <c r="L75" s="559"/>
      <c r="M75" s="566"/>
      <c r="N75" s="106" t="s">
        <v>60</v>
      </c>
      <c r="O75" s="107">
        <v>85.8</v>
      </c>
      <c r="P75" s="102"/>
      <c r="Q75" s="102"/>
      <c r="R75" s="108">
        <v>50</v>
      </c>
      <c r="S75" s="564"/>
      <c r="T75" s="102"/>
      <c r="U75" s="102"/>
      <c r="V75" s="103"/>
      <c r="W75" s="102"/>
      <c r="X75" s="566"/>
      <c r="Y75" s="102"/>
      <c r="Z75" s="105"/>
      <c r="AA75" s="103">
        <v>2.2399999999999998E-3</v>
      </c>
      <c r="AB75" s="103">
        <v>2.4899999999999998E-4</v>
      </c>
      <c r="AC75" s="103">
        <v>4.6800000000000001E-3</v>
      </c>
      <c r="AD75" s="191" t="s">
        <v>60</v>
      </c>
      <c r="AE75" s="189"/>
      <c r="AF75" s="168"/>
      <c r="AG75" s="168"/>
      <c r="AH75" s="168"/>
      <c r="AI75" s="168"/>
    </row>
    <row r="76" spans="2:35" x14ac:dyDescent="0.2">
      <c r="B76" s="564"/>
      <c r="C76" s="566"/>
      <c r="D76" s="580"/>
      <c r="E76" s="580"/>
      <c r="F76" s="559"/>
      <c r="G76" s="559"/>
      <c r="H76" s="564"/>
      <c r="I76" s="564"/>
      <c r="J76" s="559"/>
      <c r="K76" s="566"/>
      <c r="L76" s="559"/>
      <c r="M76" s="566"/>
      <c r="N76" s="202" t="s">
        <v>61</v>
      </c>
      <c r="O76" s="201">
        <v>161</v>
      </c>
      <c r="P76" s="102"/>
      <c r="Q76" s="102"/>
      <c r="R76" s="200">
        <v>50</v>
      </c>
      <c r="S76" s="564"/>
      <c r="T76" s="102"/>
      <c r="U76" s="102"/>
      <c r="V76" s="103"/>
      <c r="W76" s="102"/>
      <c r="X76" s="566"/>
      <c r="Y76" s="102"/>
      <c r="Z76" s="105"/>
      <c r="AA76" s="103">
        <f>1.05*10^-1</f>
        <v>0.10500000000000001</v>
      </c>
      <c r="AB76" s="103">
        <v>1.26E-2</v>
      </c>
      <c r="AC76" s="103">
        <v>0.218</v>
      </c>
      <c r="AD76" s="194" t="s">
        <v>61</v>
      </c>
      <c r="AE76" s="189"/>
      <c r="AF76" s="168"/>
      <c r="AG76" s="168"/>
      <c r="AH76" s="168"/>
      <c r="AI76" s="168"/>
    </row>
    <row r="77" spans="2:35" x14ac:dyDescent="0.2">
      <c r="B77" s="564"/>
      <c r="C77" s="566"/>
      <c r="D77" s="580"/>
      <c r="E77" s="580"/>
      <c r="F77" s="559"/>
      <c r="G77" s="559"/>
      <c r="H77" s="564"/>
      <c r="I77" s="564"/>
      <c r="J77" s="559"/>
      <c r="K77" s="566"/>
      <c r="L77" s="559"/>
      <c r="M77" s="566"/>
      <c r="N77" s="106" t="s">
        <v>59</v>
      </c>
      <c r="O77" s="107">
        <v>2.0499999999999998</v>
      </c>
      <c r="P77" s="102"/>
      <c r="Q77" s="102"/>
      <c r="R77" s="108">
        <v>50</v>
      </c>
      <c r="S77" s="564" t="s">
        <v>794</v>
      </c>
      <c r="T77" s="102"/>
      <c r="U77" s="102"/>
      <c r="V77" s="103"/>
      <c r="W77" s="102"/>
      <c r="X77" s="566"/>
      <c r="Y77" s="102"/>
      <c r="Z77" s="105"/>
      <c r="AA77" s="103">
        <v>0</v>
      </c>
      <c r="AB77" s="103">
        <v>2.8600000000000001E-3</v>
      </c>
      <c r="AC77" s="92">
        <v>5.4400000000000004E-3</v>
      </c>
      <c r="AD77" s="191" t="s">
        <v>59</v>
      </c>
      <c r="AE77" s="189"/>
      <c r="AF77" s="168"/>
      <c r="AG77" s="168"/>
      <c r="AH77" s="168"/>
      <c r="AI77" s="168"/>
    </row>
    <row r="78" spans="2:35" x14ac:dyDescent="0.2">
      <c r="B78" s="564"/>
      <c r="C78" s="566"/>
      <c r="D78" s="580"/>
      <c r="E78" s="580"/>
      <c r="F78" s="559"/>
      <c r="G78" s="559"/>
      <c r="H78" s="564"/>
      <c r="I78" s="564"/>
      <c r="J78" s="559"/>
      <c r="K78" s="566"/>
      <c r="L78" s="559"/>
      <c r="M78" s="566"/>
      <c r="N78" s="106" t="s">
        <v>60</v>
      </c>
      <c r="O78" s="107">
        <v>25</v>
      </c>
      <c r="P78" s="102"/>
      <c r="Q78" s="102"/>
      <c r="R78" s="108">
        <v>50</v>
      </c>
      <c r="S78" s="564"/>
      <c r="T78" s="102"/>
      <c r="U78" s="102"/>
      <c r="V78" s="103"/>
      <c r="W78" s="102"/>
      <c r="X78" s="566"/>
      <c r="Y78" s="102"/>
      <c r="Z78" s="105"/>
      <c r="AA78" s="103">
        <v>0</v>
      </c>
      <c r="AB78" s="103">
        <v>4.5800000000000002E-5</v>
      </c>
      <c r="AC78" s="103">
        <v>8.7299999999999994E-5</v>
      </c>
      <c r="AD78" s="191" t="s">
        <v>60</v>
      </c>
      <c r="AE78" s="189"/>
      <c r="AF78" s="168"/>
      <c r="AG78" s="168"/>
      <c r="AH78" s="168"/>
      <c r="AI78" s="168"/>
    </row>
    <row r="79" spans="2:35" x14ac:dyDescent="0.2">
      <c r="B79" s="564"/>
      <c r="C79" s="566"/>
      <c r="D79" s="580"/>
      <c r="E79" s="580"/>
      <c r="F79" s="559"/>
      <c r="G79" s="559"/>
      <c r="H79" s="564"/>
      <c r="I79" s="564"/>
      <c r="J79" s="559"/>
      <c r="K79" s="566"/>
      <c r="L79" s="559"/>
      <c r="M79" s="566"/>
      <c r="N79" s="106" t="s">
        <v>61</v>
      </c>
      <c r="O79" s="107">
        <v>51</v>
      </c>
      <c r="P79" s="102"/>
      <c r="Q79" s="102"/>
      <c r="R79" s="108">
        <v>50</v>
      </c>
      <c r="S79" s="564"/>
      <c r="T79" s="102"/>
      <c r="U79" s="102"/>
      <c r="V79" s="103"/>
      <c r="W79" s="102"/>
      <c r="X79" s="566"/>
      <c r="Y79" s="102"/>
      <c r="Z79" s="105"/>
      <c r="AA79" s="103">
        <v>0</v>
      </c>
      <c r="AB79" s="103">
        <v>1.44E-2</v>
      </c>
      <c r="AC79" s="103">
        <v>2.75E-2</v>
      </c>
      <c r="AD79" s="191" t="s">
        <v>61</v>
      </c>
      <c r="AE79" s="189"/>
      <c r="AF79" s="168"/>
      <c r="AG79" s="168"/>
      <c r="AH79" s="168"/>
      <c r="AI79" s="168"/>
    </row>
    <row r="80" spans="2:35" ht="15" customHeight="1" x14ac:dyDescent="0.2">
      <c r="B80" s="564"/>
      <c r="C80" s="566"/>
      <c r="D80" s="580"/>
      <c r="E80" s="580"/>
      <c r="F80" s="559"/>
      <c r="G80" s="559"/>
      <c r="H80" s="564" t="s">
        <v>65</v>
      </c>
      <c r="I80" s="564"/>
      <c r="J80" s="559"/>
      <c r="K80" s="566"/>
      <c r="L80" s="559"/>
      <c r="M80" s="566"/>
      <c r="N80" s="106" t="s">
        <v>59</v>
      </c>
      <c r="O80" s="107">
        <v>3.43</v>
      </c>
      <c r="P80" s="102"/>
      <c r="Q80" s="102"/>
      <c r="R80" s="108">
        <v>50</v>
      </c>
      <c r="S80" s="564" t="s">
        <v>793</v>
      </c>
      <c r="T80" s="102"/>
      <c r="U80" s="102"/>
      <c r="V80" s="102"/>
      <c r="W80" s="102"/>
      <c r="X80" s="566"/>
      <c r="Y80" s="102"/>
      <c r="Z80" s="105"/>
      <c r="AA80" s="102"/>
      <c r="AB80" s="103">
        <v>3.6699999999999998E-4</v>
      </c>
      <c r="AC80" s="103">
        <v>8.3900000000000001E-4</v>
      </c>
      <c r="AD80" s="168" t="s">
        <v>59</v>
      </c>
      <c r="AE80" s="168"/>
      <c r="AF80" s="168"/>
      <c r="AG80" s="168"/>
      <c r="AH80" s="168"/>
      <c r="AI80" s="168"/>
    </row>
    <row r="81" spans="2:35" x14ac:dyDescent="0.2">
      <c r="B81" s="564"/>
      <c r="C81" s="566"/>
      <c r="D81" s="580"/>
      <c r="E81" s="580"/>
      <c r="F81" s="559"/>
      <c r="G81" s="559"/>
      <c r="H81" s="564"/>
      <c r="I81" s="564"/>
      <c r="J81" s="559"/>
      <c r="K81" s="566"/>
      <c r="L81" s="559"/>
      <c r="M81" s="566"/>
      <c r="N81" s="106" t="s">
        <v>60</v>
      </c>
      <c r="O81" s="107">
        <v>26.1</v>
      </c>
      <c r="P81" s="102"/>
      <c r="Q81" s="102"/>
      <c r="R81" s="108">
        <v>50</v>
      </c>
      <c r="S81" s="564"/>
      <c r="T81" s="102"/>
      <c r="U81" s="102"/>
      <c r="V81" s="102"/>
      <c r="W81" s="102"/>
      <c r="X81" s="566"/>
      <c r="Y81" s="102"/>
      <c r="Z81" s="105"/>
      <c r="AA81" s="102"/>
      <c r="AB81" s="103">
        <v>2.44E-5</v>
      </c>
      <c r="AC81" s="103">
        <v>4.6600000000000001E-5</v>
      </c>
      <c r="AD81" s="168" t="s">
        <v>60</v>
      </c>
      <c r="AE81" s="168"/>
      <c r="AF81" s="168"/>
      <c r="AG81" s="168"/>
      <c r="AH81" s="168"/>
      <c r="AI81" s="168"/>
    </row>
    <row r="82" spans="2:35" x14ac:dyDescent="0.2">
      <c r="B82" s="564"/>
      <c r="C82" s="566"/>
      <c r="D82" s="580"/>
      <c r="E82" s="580"/>
      <c r="F82" s="559"/>
      <c r="G82" s="559"/>
      <c r="H82" s="564"/>
      <c r="I82" s="564"/>
      <c r="J82" s="559"/>
      <c r="K82" s="566"/>
      <c r="L82" s="559"/>
      <c r="M82" s="566"/>
      <c r="N82" s="106" t="s">
        <v>61</v>
      </c>
      <c r="O82" s="107">
        <v>23.5</v>
      </c>
      <c r="P82" s="102"/>
      <c r="Q82" s="102"/>
      <c r="R82" s="108">
        <v>50</v>
      </c>
      <c r="S82" s="564"/>
      <c r="T82" s="102"/>
      <c r="U82" s="102"/>
      <c r="V82" s="102"/>
      <c r="W82" s="102"/>
      <c r="X82" s="566"/>
      <c r="Y82" s="102"/>
      <c r="Z82" s="105"/>
      <c r="AA82" s="102"/>
      <c r="AB82" s="103">
        <v>3.3800000000000002E-3</v>
      </c>
      <c r="AC82" s="103">
        <v>6.43E-3</v>
      </c>
      <c r="AD82" s="168" t="s">
        <v>61</v>
      </c>
      <c r="AE82" s="168"/>
      <c r="AF82" s="168"/>
      <c r="AG82" s="168"/>
      <c r="AH82" s="168"/>
      <c r="AI82" s="168"/>
    </row>
    <row r="83" spans="2:35" x14ac:dyDescent="0.2">
      <c r="B83" s="564"/>
      <c r="C83" s="566"/>
      <c r="D83" s="580"/>
      <c r="E83" s="580"/>
      <c r="F83" s="559"/>
      <c r="G83" s="559"/>
      <c r="H83" s="564"/>
      <c r="I83" s="564"/>
      <c r="J83" s="559"/>
      <c r="K83" s="566"/>
      <c r="L83" s="559"/>
      <c r="M83" s="566"/>
      <c r="N83" s="106" t="s">
        <v>59</v>
      </c>
      <c r="O83" s="107">
        <v>3.43</v>
      </c>
      <c r="P83" s="102"/>
      <c r="Q83" s="102"/>
      <c r="R83" s="108">
        <v>50</v>
      </c>
      <c r="S83" s="564" t="s">
        <v>794</v>
      </c>
      <c r="T83" s="102"/>
      <c r="U83" s="102"/>
      <c r="V83" s="102"/>
      <c r="W83" s="102"/>
      <c r="X83" s="566"/>
      <c r="Y83" s="102"/>
      <c r="Z83" s="105"/>
      <c r="AA83" s="102"/>
      <c r="AB83" s="103">
        <v>1.24E-2</v>
      </c>
      <c r="AC83" s="103">
        <v>1.5800000000000002E-2</v>
      </c>
      <c r="AD83" s="168" t="s">
        <v>59</v>
      </c>
      <c r="AE83" s="168"/>
      <c r="AF83" s="168"/>
      <c r="AG83" s="168"/>
      <c r="AH83" s="168"/>
      <c r="AI83" s="168"/>
    </row>
    <row r="84" spans="2:35" x14ac:dyDescent="0.2">
      <c r="B84" s="564"/>
      <c r="C84" s="566"/>
      <c r="D84" s="580"/>
      <c r="E84" s="580"/>
      <c r="F84" s="559"/>
      <c r="G84" s="559"/>
      <c r="H84" s="564"/>
      <c r="I84" s="564"/>
      <c r="J84" s="559"/>
      <c r="K84" s="566"/>
      <c r="L84" s="559"/>
      <c r="M84" s="566"/>
      <c r="N84" s="106" t="s">
        <v>60</v>
      </c>
      <c r="O84" s="107">
        <v>26.1</v>
      </c>
      <c r="P84" s="102"/>
      <c r="Q84" s="102"/>
      <c r="R84" s="108">
        <v>50</v>
      </c>
      <c r="S84" s="564"/>
      <c r="T84" s="102"/>
      <c r="U84" s="102"/>
      <c r="V84" s="102"/>
      <c r="W84" s="102"/>
      <c r="X84" s="566"/>
      <c r="Y84" s="102"/>
      <c r="Z84" s="105"/>
      <c r="AA84" s="102"/>
      <c r="AB84" s="103">
        <v>8.3399999999999994E-5</v>
      </c>
      <c r="AC84" s="103">
        <v>1.5899999999999999E-4</v>
      </c>
      <c r="AD84" s="168" t="s">
        <v>60</v>
      </c>
      <c r="AE84" s="168"/>
      <c r="AF84" s="168"/>
      <c r="AG84" s="168"/>
      <c r="AH84" s="168"/>
      <c r="AI84" s="168"/>
    </row>
    <row r="85" spans="2:35" x14ac:dyDescent="0.2">
      <c r="B85" s="564"/>
      <c r="C85" s="566"/>
      <c r="D85" s="580"/>
      <c r="E85" s="580"/>
      <c r="F85" s="559"/>
      <c r="G85" s="559"/>
      <c r="H85" s="564"/>
      <c r="I85" s="564"/>
      <c r="J85" s="559"/>
      <c r="K85" s="566"/>
      <c r="L85" s="559"/>
      <c r="M85" s="566"/>
      <c r="N85" s="106" t="s">
        <v>61</v>
      </c>
      <c r="O85" s="107">
        <v>23.5</v>
      </c>
      <c r="P85" s="102"/>
      <c r="Q85" s="102"/>
      <c r="R85" s="108">
        <v>50</v>
      </c>
      <c r="S85" s="564"/>
      <c r="T85" s="102"/>
      <c r="U85" s="102"/>
      <c r="V85" s="102"/>
      <c r="W85" s="102"/>
      <c r="X85" s="566"/>
      <c r="Y85" s="102"/>
      <c r="Z85" s="105"/>
      <c r="AA85" s="102"/>
      <c r="AB85" s="103">
        <v>1.15E-2</v>
      </c>
      <c r="AC85" s="103">
        <v>3.6700000000000003E-2</v>
      </c>
      <c r="AD85" s="168" t="s">
        <v>61</v>
      </c>
      <c r="AE85" s="168"/>
      <c r="AF85" s="168"/>
      <c r="AG85" s="168"/>
      <c r="AH85" s="168"/>
      <c r="AI85" s="168"/>
    </row>
    <row r="86" spans="2:35" ht="30.6" x14ac:dyDescent="0.2">
      <c r="B86" s="562" t="s">
        <v>795</v>
      </c>
      <c r="C86" s="569" t="s">
        <v>1144</v>
      </c>
      <c r="D86" s="562" t="s">
        <v>1145</v>
      </c>
      <c r="E86" s="562" t="s">
        <v>795</v>
      </c>
      <c r="F86" s="570"/>
      <c r="G86" s="570"/>
      <c r="H86" s="573" t="s">
        <v>26</v>
      </c>
      <c r="I86" s="574"/>
      <c r="J86" s="570"/>
      <c r="K86" s="562" t="s">
        <v>1148</v>
      </c>
      <c r="L86" s="562" t="s">
        <v>845</v>
      </c>
      <c r="M86" s="562" t="s">
        <v>1090</v>
      </c>
      <c r="N86" s="109" t="s">
        <v>49</v>
      </c>
      <c r="O86" s="110">
        <v>1E-3</v>
      </c>
      <c r="P86" s="111"/>
      <c r="Q86" s="111"/>
      <c r="R86" s="112">
        <v>5</v>
      </c>
      <c r="S86" s="113" t="s">
        <v>27</v>
      </c>
      <c r="T86" s="111"/>
      <c r="U86" s="111"/>
      <c r="V86" s="111"/>
      <c r="W86" s="111"/>
      <c r="X86" s="569" t="s">
        <v>1149</v>
      </c>
      <c r="Y86" s="111"/>
      <c r="Z86" s="114">
        <v>6.4699999999999999E-6</v>
      </c>
      <c r="AA86" s="110">
        <v>0.19900000000000001</v>
      </c>
      <c r="AB86" s="110">
        <f>1.09*10^-7</f>
        <v>1.09E-7</v>
      </c>
      <c r="AC86" s="110"/>
      <c r="AD86" s="168" t="s">
        <v>49</v>
      </c>
      <c r="AE86" s="168"/>
      <c r="AF86" s="168"/>
      <c r="AG86" s="168"/>
      <c r="AH86" s="168"/>
      <c r="AI86" s="168"/>
    </row>
    <row r="87" spans="2:35" ht="20.399999999999999" x14ac:dyDescent="0.2">
      <c r="B87" s="568"/>
      <c r="C87" s="563"/>
      <c r="D87" s="568"/>
      <c r="E87" s="568"/>
      <c r="F87" s="571"/>
      <c r="G87" s="571"/>
      <c r="H87" s="575"/>
      <c r="I87" s="576"/>
      <c r="J87" s="571"/>
      <c r="K87" s="563"/>
      <c r="L87" s="563"/>
      <c r="M87" s="563"/>
      <c r="N87" s="109" t="s">
        <v>49</v>
      </c>
      <c r="O87" s="110">
        <v>1E-3</v>
      </c>
      <c r="P87" s="111"/>
      <c r="Q87" s="111"/>
      <c r="R87" s="112">
        <v>5</v>
      </c>
      <c r="S87" s="113" t="s">
        <v>796</v>
      </c>
      <c r="T87" s="111"/>
      <c r="U87" s="111"/>
      <c r="V87" s="111"/>
      <c r="W87" s="111"/>
      <c r="X87" s="563"/>
      <c r="Y87" s="111"/>
      <c r="Z87" s="115"/>
      <c r="AA87" s="116"/>
      <c r="AB87" s="116"/>
      <c r="AC87" s="116"/>
      <c r="AD87" s="168" t="s">
        <v>49</v>
      </c>
      <c r="AE87" s="168"/>
      <c r="AF87" s="168"/>
      <c r="AG87" s="168"/>
      <c r="AH87" s="168"/>
      <c r="AI87" s="168"/>
    </row>
    <row r="88" spans="2:35" ht="11.25" customHeight="1" x14ac:dyDescent="0.2">
      <c r="B88" s="568"/>
      <c r="C88" s="563"/>
      <c r="D88" s="568"/>
      <c r="E88" s="568"/>
      <c r="F88" s="571"/>
      <c r="G88" s="571"/>
      <c r="H88" s="573" t="s">
        <v>792</v>
      </c>
      <c r="I88" s="574"/>
      <c r="J88" s="571"/>
      <c r="K88" s="563"/>
      <c r="L88" s="563"/>
      <c r="M88" s="563"/>
      <c r="N88" s="109" t="s">
        <v>57</v>
      </c>
      <c r="O88" s="110">
        <v>8.01</v>
      </c>
      <c r="P88" s="111"/>
      <c r="Q88" s="111"/>
      <c r="R88" s="112">
        <v>0.35</v>
      </c>
      <c r="S88" s="567" t="s">
        <v>55</v>
      </c>
      <c r="T88" s="111"/>
      <c r="U88" s="111"/>
      <c r="V88" s="111"/>
      <c r="W88" s="111"/>
      <c r="X88" s="563"/>
      <c r="Y88" s="111"/>
      <c r="Z88" s="117"/>
      <c r="AA88" s="118">
        <v>4.0600000000000002E-3</v>
      </c>
      <c r="AB88" s="118">
        <v>4.1700000000000001E-2</v>
      </c>
      <c r="AC88" s="118">
        <v>2.4800000000000001E-4</v>
      </c>
      <c r="AD88" s="168" t="s">
        <v>57</v>
      </c>
      <c r="AE88" s="168"/>
      <c r="AF88" s="168"/>
      <c r="AG88" s="168"/>
      <c r="AH88" s="168"/>
      <c r="AI88" s="168"/>
    </row>
    <row r="89" spans="2:35" x14ac:dyDescent="0.2">
      <c r="B89" s="568"/>
      <c r="C89" s="563"/>
      <c r="D89" s="568"/>
      <c r="E89" s="568"/>
      <c r="F89" s="571"/>
      <c r="G89" s="571"/>
      <c r="H89" s="577"/>
      <c r="I89" s="578"/>
      <c r="J89" s="571"/>
      <c r="K89" s="563"/>
      <c r="L89" s="563"/>
      <c r="M89" s="563"/>
      <c r="N89" s="109" t="s">
        <v>1243</v>
      </c>
      <c r="O89" s="110">
        <v>44.4</v>
      </c>
      <c r="P89" s="111"/>
      <c r="Q89" s="111"/>
      <c r="R89" s="112">
        <v>0.35</v>
      </c>
      <c r="S89" s="567"/>
      <c r="T89" s="111"/>
      <c r="U89" s="111"/>
      <c r="V89" s="111"/>
      <c r="W89" s="111"/>
      <c r="X89" s="563"/>
      <c r="Y89" s="111"/>
      <c r="Z89" s="117"/>
      <c r="AA89" s="118">
        <v>2.52E-2</v>
      </c>
      <c r="AB89" s="118">
        <v>0.25800000000000001</v>
      </c>
      <c r="AC89" s="118">
        <v>1.5299999999999999E-3</v>
      </c>
      <c r="AD89" s="168" t="s">
        <v>1243</v>
      </c>
      <c r="AE89" s="168"/>
      <c r="AF89" s="168"/>
      <c r="AG89" s="168"/>
      <c r="AH89" s="168"/>
      <c r="AI89" s="168"/>
    </row>
    <row r="90" spans="2:35" x14ac:dyDescent="0.2">
      <c r="B90" s="568"/>
      <c r="C90" s="563"/>
      <c r="D90" s="568"/>
      <c r="E90" s="568"/>
      <c r="F90" s="571"/>
      <c r="G90" s="571"/>
      <c r="H90" s="577"/>
      <c r="I90" s="578"/>
      <c r="J90" s="571"/>
      <c r="K90" s="563"/>
      <c r="L90" s="563"/>
      <c r="M90" s="563"/>
      <c r="N90" s="109" t="s">
        <v>59</v>
      </c>
      <c r="O90" s="110">
        <v>1.79</v>
      </c>
      <c r="P90" s="111"/>
      <c r="Q90" s="111"/>
      <c r="R90" s="112">
        <v>0.35</v>
      </c>
      <c r="S90" s="567"/>
      <c r="T90" s="111"/>
      <c r="U90" s="111"/>
      <c r="V90" s="111"/>
      <c r="W90" s="111"/>
      <c r="X90" s="563"/>
      <c r="Y90" s="111"/>
      <c r="Z90" s="117"/>
      <c r="AA90" s="118">
        <v>1.0200000000000001E-3</v>
      </c>
      <c r="AB90" s="118">
        <v>1.04E-2</v>
      </c>
      <c r="AC90" s="118">
        <v>6.1699999999999995E-5</v>
      </c>
      <c r="AD90" s="168" t="s">
        <v>59</v>
      </c>
      <c r="AE90" s="168"/>
      <c r="AF90" s="168"/>
      <c r="AG90" s="168"/>
      <c r="AH90" s="168"/>
      <c r="AI90" s="168"/>
    </row>
    <row r="91" spans="2:35" x14ac:dyDescent="0.2">
      <c r="B91" s="568"/>
      <c r="C91" s="563"/>
      <c r="D91" s="568"/>
      <c r="E91" s="568"/>
      <c r="F91" s="571"/>
      <c r="G91" s="571"/>
      <c r="H91" s="577"/>
      <c r="I91" s="578"/>
      <c r="J91" s="571"/>
      <c r="K91" s="563"/>
      <c r="L91" s="563"/>
      <c r="M91" s="563"/>
      <c r="N91" s="109" t="s">
        <v>60</v>
      </c>
      <c r="O91" s="110">
        <v>18.3</v>
      </c>
      <c r="P91" s="111"/>
      <c r="Q91" s="111"/>
      <c r="R91" s="112">
        <v>0.35</v>
      </c>
      <c r="S91" s="567"/>
      <c r="T91" s="111"/>
      <c r="U91" s="111"/>
      <c r="V91" s="111"/>
      <c r="W91" s="111"/>
      <c r="X91" s="563"/>
      <c r="Y91" s="111"/>
      <c r="Z91" s="117"/>
      <c r="AA91" s="118">
        <v>7.9600000000000001E-3</v>
      </c>
      <c r="AB91" s="118">
        <v>8.1500000000000003E-2</v>
      </c>
      <c r="AC91" s="118">
        <v>4.8299999999999998E-4</v>
      </c>
      <c r="AD91" s="168" t="s">
        <v>60</v>
      </c>
      <c r="AE91" s="168"/>
      <c r="AF91" s="168"/>
      <c r="AG91" s="168"/>
      <c r="AH91" s="168"/>
      <c r="AI91" s="168"/>
    </row>
    <row r="92" spans="2:35" x14ac:dyDescent="0.2">
      <c r="B92" s="568"/>
      <c r="C92" s="563"/>
      <c r="D92" s="568"/>
      <c r="E92" s="568"/>
      <c r="F92" s="571"/>
      <c r="G92" s="571"/>
      <c r="H92" s="577"/>
      <c r="I92" s="578"/>
      <c r="J92" s="571"/>
      <c r="K92" s="563"/>
      <c r="L92" s="563"/>
      <c r="M92" s="563"/>
      <c r="N92" s="109" t="s">
        <v>58</v>
      </c>
      <c r="O92" s="110">
        <v>101</v>
      </c>
      <c r="P92" s="111"/>
      <c r="Q92" s="111"/>
      <c r="R92" s="112">
        <v>0.35</v>
      </c>
      <c r="S92" s="567"/>
      <c r="T92" s="111"/>
      <c r="U92" s="111"/>
      <c r="V92" s="111"/>
      <c r="W92" s="111"/>
      <c r="X92" s="563"/>
      <c r="Y92" s="111"/>
      <c r="Z92" s="117"/>
      <c r="AA92" s="118">
        <v>2.5200000000000001E-3</v>
      </c>
      <c r="AB92" s="118">
        <v>2.5899999999999999E-2</v>
      </c>
      <c r="AC92" s="118">
        <v>2.1699999999999999E-4</v>
      </c>
      <c r="AD92" s="168" t="s">
        <v>58</v>
      </c>
      <c r="AE92" s="168"/>
      <c r="AF92" s="168"/>
      <c r="AG92" s="168"/>
      <c r="AH92" s="168"/>
      <c r="AI92" s="168"/>
    </row>
    <row r="93" spans="2:35" x14ac:dyDescent="0.2">
      <c r="B93" s="568"/>
      <c r="C93" s="563"/>
      <c r="D93" s="568"/>
      <c r="E93" s="568"/>
      <c r="F93" s="571"/>
      <c r="G93" s="571"/>
      <c r="H93" s="577"/>
      <c r="I93" s="578"/>
      <c r="J93" s="571"/>
      <c r="K93" s="563"/>
      <c r="L93" s="563"/>
      <c r="M93" s="563"/>
      <c r="N93" s="109" t="s">
        <v>797</v>
      </c>
      <c r="O93" s="110">
        <v>80.3</v>
      </c>
      <c r="P93" s="111"/>
      <c r="Q93" s="111"/>
      <c r="R93" s="112">
        <v>0.35</v>
      </c>
      <c r="S93" s="567"/>
      <c r="T93" s="111"/>
      <c r="U93" s="111"/>
      <c r="V93" s="111"/>
      <c r="W93" s="111"/>
      <c r="X93" s="563"/>
      <c r="Y93" s="111"/>
      <c r="Z93" s="117"/>
      <c r="AA93" s="118">
        <v>3.7100000000000002E-4</v>
      </c>
      <c r="AB93" s="118">
        <v>3.8500000000000001E-3</v>
      </c>
      <c r="AC93" s="118">
        <v>6.2399999999999999E-5</v>
      </c>
      <c r="AD93" s="168" t="s">
        <v>797</v>
      </c>
      <c r="AE93" s="168"/>
      <c r="AF93" s="168"/>
      <c r="AG93" s="168"/>
      <c r="AH93" s="168"/>
      <c r="AI93" s="168"/>
    </row>
    <row r="94" spans="2:35" x14ac:dyDescent="0.2">
      <c r="B94" s="568"/>
      <c r="C94" s="563"/>
      <c r="D94" s="568"/>
      <c r="E94" s="568"/>
      <c r="F94" s="571"/>
      <c r="G94" s="571"/>
      <c r="H94" s="577"/>
      <c r="I94" s="578"/>
      <c r="J94" s="571"/>
      <c r="K94" s="563"/>
      <c r="L94" s="563"/>
      <c r="M94" s="563"/>
      <c r="N94" s="109" t="s">
        <v>61</v>
      </c>
      <c r="O94" s="110">
        <v>106</v>
      </c>
      <c r="P94" s="111"/>
      <c r="Q94" s="111"/>
      <c r="R94" s="112">
        <v>0.35</v>
      </c>
      <c r="S94" s="567"/>
      <c r="T94" s="111"/>
      <c r="U94" s="111"/>
      <c r="V94" s="111"/>
      <c r="W94" s="111"/>
      <c r="X94" s="563"/>
      <c r="Y94" s="111"/>
      <c r="Z94" s="117"/>
      <c r="AA94" s="118">
        <v>2.4600000000000002E-4</v>
      </c>
      <c r="AB94" s="118">
        <v>2.5500000000000002E-3</v>
      </c>
      <c r="AC94" s="118">
        <v>4.1399999999999997E-5</v>
      </c>
      <c r="AD94" s="168" t="s">
        <v>61</v>
      </c>
      <c r="AE94" s="168"/>
      <c r="AF94" s="168"/>
      <c r="AG94" s="168"/>
      <c r="AH94" s="168"/>
      <c r="AI94" s="168"/>
    </row>
    <row r="95" spans="2:35" x14ac:dyDescent="0.2">
      <c r="B95" s="568"/>
      <c r="C95" s="563"/>
      <c r="D95" s="568"/>
      <c r="E95" s="568"/>
      <c r="F95" s="571"/>
      <c r="G95" s="571"/>
      <c r="H95" s="577"/>
      <c r="I95" s="578"/>
      <c r="J95" s="571"/>
      <c r="K95" s="563"/>
      <c r="L95" s="563"/>
      <c r="M95" s="563"/>
      <c r="N95" s="109" t="s">
        <v>31</v>
      </c>
      <c r="O95" s="110">
        <v>2.39</v>
      </c>
      <c r="P95" s="111"/>
      <c r="Q95" s="111"/>
      <c r="R95" s="112">
        <v>1E-3</v>
      </c>
      <c r="S95" s="567"/>
      <c r="T95" s="111"/>
      <c r="U95" s="111"/>
      <c r="V95" s="111"/>
      <c r="W95" s="111"/>
      <c r="X95" s="563"/>
      <c r="Y95" s="111"/>
      <c r="Z95" s="111"/>
      <c r="AA95" s="118">
        <v>4.4200000000000001E-4</v>
      </c>
      <c r="AB95" s="219">
        <v>0</v>
      </c>
      <c r="AC95" s="118">
        <v>1.2199999999999999E-3</v>
      </c>
      <c r="AD95" s="168" t="s">
        <v>31</v>
      </c>
      <c r="AE95" s="168"/>
      <c r="AF95" s="168"/>
      <c r="AG95" s="168"/>
      <c r="AH95" s="168"/>
      <c r="AI95" s="168"/>
    </row>
    <row r="96" spans="2:35" x14ac:dyDescent="0.2">
      <c r="B96" s="568"/>
      <c r="C96" s="563"/>
      <c r="D96" s="568"/>
      <c r="E96" s="568"/>
      <c r="F96" s="571"/>
      <c r="G96" s="571"/>
      <c r="H96" s="577"/>
      <c r="I96" s="578"/>
      <c r="J96" s="571"/>
      <c r="K96" s="563"/>
      <c r="L96" s="563"/>
      <c r="M96" s="563"/>
      <c r="N96" s="109" t="s">
        <v>57</v>
      </c>
      <c r="O96" s="110">
        <v>45.4</v>
      </c>
      <c r="P96" s="111"/>
      <c r="Q96" s="111"/>
      <c r="R96" s="112">
        <v>0.35</v>
      </c>
      <c r="S96" s="567" t="s">
        <v>62</v>
      </c>
      <c r="T96" s="111"/>
      <c r="U96" s="111"/>
      <c r="V96" s="111"/>
      <c r="W96" s="111"/>
      <c r="X96" s="563"/>
      <c r="Y96" s="111"/>
      <c r="Z96" s="117"/>
      <c r="AA96" s="118">
        <v>1.2999999999999999E-4</v>
      </c>
      <c r="AB96" s="118">
        <v>0.318</v>
      </c>
      <c r="AC96" s="118">
        <v>3.1199999999999999E-3</v>
      </c>
      <c r="AD96" s="168" t="s">
        <v>57</v>
      </c>
      <c r="AE96" s="168"/>
      <c r="AF96" s="168"/>
      <c r="AG96" s="168"/>
      <c r="AH96" s="168"/>
      <c r="AI96" s="168"/>
    </row>
    <row r="97" spans="2:35" x14ac:dyDescent="0.2">
      <c r="B97" s="568"/>
      <c r="C97" s="563"/>
      <c r="D97" s="568"/>
      <c r="E97" s="568"/>
      <c r="F97" s="571"/>
      <c r="G97" s="571"/>
      <c r="H97" s="577"/>
      <c r="I97" s="578"/>
      <c r="J97" s="571"/>
      <c r="K97" s="563"/>
      <c r="L97" s="563"/>
      <c r="M97" s="563"/>
      <c r="N97" s="109" t="s">
        <v>1243</v>
      </c>
      <c r="O97" s="110">
        <v>252</v>
      </c>
      <c r="P97" s="111"/>
      <c r="Q97" s="111"/>
      <c r="R97" s="112">
        <v>0.35</v>
      </c>
      <c r="S97" s="567"/>
      <c r="T97" s="111"/>
      <c r="U97" s="111"/>
      <c r="V97" s="111"/>
      <c r="W97" s="111"/>
      <c r="X97" s="563"/>
      <c r="Y97" s="111"/>
      <c r="Z97" s="117"/>
      <c r="AA97" s="118">
        <f>0.246</f>
        <v>0.246</v>
      </c>
      <c r="AB97" s="220">
        <v>1.97</v>
      </c>
      <c r="AC97" s="118">
        <v>1.9300000000000001E-2</v>
      </c>
      <c r="AD97" s="168" t="s">
        <v>1243</v>
      </c>
      <c r="AE97" s="168"/>
      <c r="AF97" s="168"/>
      <c r="AG97" s="168"/>
      <c r="AH97" s="168"/>
      <c r="AI97" s="168"/>
    </row>
    <row r="98" spans="2:35" x14ac:dyDescent="0.2">
      <c r="B98" s="568"/>
      <c r="C98" s="563"/>
      <c r="D98" s="568"/>
      <c r="E98" s="568"/>
      <c r="F98" s="571"/>
      <c r="G98" s="571"/>
      <c r="H98" s="577"/>
      <c r="I98" s="578"/>
      <c r="J98" s="571"/>
      <c r="K98" s="563"/>
      <c r="L98" s="563"/>
      <c r="M98" s="563"/>
      <c r="N98" s="109" t="s">
        <v>59</v>
      </c>
      <c r="O98" s="110">
        <v>10.199999999999999</v>
      </c>
      <c r="P98" s="111"/>
      <c r="Q98" s="111"/>
      <c r="R98" s="112">
        <v>0.35</v>
      </c>
      <c r="S98" s="567"/>
      <c r="T98" s="111"/>
      <c r="U98" s="111"/>
      <c r="V98" s="111"/>
      <c r="W98" s="111"/>
      <c r="X98" s="563"/>
      <c r="Y98" s="111"/>
      <c r="Z98" s="117"/>
      <c r="AA98" s="211">
        <v>9.9500000000000005E-3</v>
      </c>
      <c r="AB98" s="118">
        <v>7.9600000000000004E-2</v>
      </c>
      <c r="AC98" s="118">
        <v>7.7800000000000005E-4</v>
      </c>
      <c r="AD98" s="168" t="s">
        <v>59</v>
      </c>
      <c r="AE98" s="168"/>
      <c r="AF98" s="168"/>
      <c r="AG98" s="168"/>
      <c r="AH98" s="168"/>
      <c r="AI98" s="168"/>
    </row>
    <row r="99" spans="2:35" x14ac:dyDescent="0.2">
      <c r="B99" s="568"/>
      <c r="C99" s="563"/>
      <c r="D99" s="568"/>
      <c r="E99" s="568"/>
      <c r="F99" s="571"/>
      <c r="G99" s="571"/>
      <c r="H99" s="577"/>
      <c r="I99" s="578"/>
      <c r="J99" s="571"/>
      <c r="K99" s="563"/>
      <c r="L99" s="563"/>
      <c r="M99" s="563"/>
      <c r="N99" s="109" t="s">
        <v>60</v>
      </c>
      <c r="O99" s="110">
        <v>104</v>
      </c>
      <c r="P99" s="111"/>
      <c r="Q99" s="111"/>
      <c r="R99" s="112">
        <v>0.35</v>
      </c>
      <c r="S99" s="567"/>
      <c r="T99" s="111"/>
      <c r="U99" s="111"/>
      <c r="V99" s="111"/>
      <c r="W99" s="111"/>
      <c r="X99" s="563"/>
      <c r="Y99" s="111"/>
      <c r="Z99" s="117"/>
      <c r="AA99" s="118">
        <v>7.7799999999999994E-2</v>
      </c>
      <c r="AB99" s="118">
        <v>0.622</v>
      </c>
      <c r="AC99" s="118">
        <v>6.1000000000000004E-3</v>
      </c>
      <c r="AD99" s="168" t="s">
        <v>60</v>
      </c>
      <c r="AE99" s="168"/>
      <c r="AF99" s="168"/>
      <c r="AG99" s="168"/>
      <c r="AH99" s="168"/>
      <c r="AI99" s="168"/>
    </row>
    <row r="100" spans="2:35" x14ac:dyDescent="0.2">
      <c r="B100" s="568"/>
      <c r="C100" s="563"/>
      <c r="D100" s="568"/>
      <c r="E100" s="568"/>
      <c r="F100" s="571"/>
      <c r="G100" s="571"/>
      <c r="H100" s="577"/>
      <c r="I100" s="578"/>
      <c r="J100" s="571"/>
      <c r="K100" s="563"/>
      <c r="L100" s="563"/>
      <c r="M100" s="563"/>
      <c r="N100" s="109" t="s">
        <v>58</v>
      </c>
      <c r="O100" s="110">
        <v>571</v>
      </c>
      <c r="P100" s="111"/>
      <c r="Q100" s="111"/>
      <c r="R100" s="112">
        <v>0.35</v>
      </c>
      <c r="S100" s="567"/>
      <c r="T100" s="111"/>
      <c r="U100" s="111"/>
      <c r="V100" s="111"/>
      <c r="W100" s="111"/>
      <c r="X100" s="563"/>
      <c r="Y100" s="111"/>
      <c r="Z100" s="117"/>
      <c r="AA100" s="211">
        <v>2.3099999999999999E-2</v>
      </c>
      <c r="AB100" s="211">
        <v>0.185</v>
      </c>
      <c r="AC100" s="118">
        <v>2.5699999999999998E-3</v>
      </c>
      <c r="AD100" s="168" t="s">
        <v>58</v>
      </c>
      <c r="AE100" s="168"/>
      <c r="AF100" s="168"/>
      <c r="AG100" s="168"/>
      <c r="AH100" s="168"/>
      <c r="AI100" s="168"/>
    </row>
    <row r="101" spans="2:35" x14ac:dyDescent="0.2">
      <c r="B101" s="568"/>
      <c r="C101" s="563"/>
      <c r="D101" s="568"/>
      <c r="E101" s="568"/>
      <c r="F101" s="571"/>
      <c r="G101" s="571"/>
      <c r="H101" s="577"/>
      <c r="I101" s="578"/>
      <c r="J101" s="571"/>
      <c r="K101" s="563"/>
      <c r="L101" s="563"/>
      <c r="M101" s="563"/>
      <c r="N101" s="109" t="s">
        <v>797</v>
      </c>
      <c r="O101" s="110">
        <v>455</v>
      </c>
      <c r="P101" s="111"/>
      <c r="Q101" s="111"/>
      <c r="R101" s="112">
        <v>0.35</v>
      </c>
      <c r="S101" s="567"/>
      <c r="T101" s="111"/>
      <c r="U101" s="111"/>
      <c r="V101" s="111"/>
      <c r="W101" s="111"/>
      <c r="X101" s="563"/>
      <c r="Y101" s="111"/>
      <c r="Z101" s="117"/>
      <c r="AA101" s="211">
        <v>2.0400000000000001E-3</v>
      </c>
      <c r="AB101" s="118">
        <v>1.6299999999999999E-2</v>
      </c>
      <c r="AC101" s="118">
        <v>4.6700000000000002E-4</v>
      </c>
      <c r="AD101" s="168" t="s">
        <v>797</v>
      </c>
      <c r="AE101" s="168"/>
      <c r="AF101" s="168"/>
      <c r="AG101" s="168"/>
      <c r="AH101" s="168"/>
      <c r="AI101" s="168"/>
    </row>
    <row r="102" spans="2:35" x14ac:dyDescent="0.2">
      <c r="B102" s="568"/>
      <c r="C102" s="563"/>
      <c r="D102" s="568"/>
      <c r="E102" s="568"/>
      <c r="F102" s="571"/>
      <c r="G102" s="571"/>
      <c r="H102" s="577"/>
      <c r="I102" s="578"/>
      <c r="J102" s="571"/>
      <c r="K102" s="563"/>
      <c r="L102" s="563"/>
      <c r="M102" s="563"/>
      <c r="N102" s="561" t="s">
        <v>61</v>
      </c>
      <c r="O102" s="560">
        <v>603</v>
      </c>
      <c r="P102" s="111"/>
      <c r="Q102" s="111"/>
      <c r="R102" s="112">
        <v>0.35</v>
      </c>
      <c r="S102" s="567"/>
      <c r="T102" s="111"/>
      <c r="U102" s="111"/>
      <c r="V102" s="111"/>
      <c r="W102" s="111"/>
      <c r="X102" s="563"/>
      <c r="Y102" s="111"/>
      <c r="Z102" s="117"/>
      <c r="AA102" s="118">
        <v>1.3500000000000001E-3</v>
      </c>
      <c r="AB102" s="603">
        <v>1.0800000000000001E-2</v>
      </c>
      <c r="AC102" s="118">
        <v>3.0899999999999998E-4</v>
      </c>
      <c r="AD102" s="168" t="s">
        <v>61</v>
      </c>
      <c r="AE102" s="168"/>
      <c r="AF102" s="168"/>
      <c r="AG102" s="168"/>
      <c r="AH102" s="168"/>
      <c r="AI102" s="168"/>
    </row>
    <row r="103" spans="2:35" x14ac:dyDescent="0.2">
      <c r="B103" s="568"/>
      <c r="C103" s="563"/>
      <c r="D103" s="568"/>
      <c r="E103" s="568"/>
      <c r="F103" s="571"/>
      <c r="G103" s="571"/>
      <c r="H103" s="577"/>
      <c r="I103" s="578"/>
      <c r="J103" s="571"/>
      <c r="K103" s="563"/>
      <c r="L103" s="563"/>
      <c r="M103" s="563"/>
      <c r="N103" s="561"/>
      <c r="O103" s="560"/>
      <c r="P103" s="111"/>
      <c r="Q103" s="111"/>
      <c r="R103" s="112">
        <v>0.35</v>
      </c>
      <c r="S103" s="567"/>
      <c r="T103" s="111"/>
      <c r="U103" s="111"/>
      <c r="V103" s="111"/>
      <c r="W103" s="111"/>
      <c r="X103" s="563"/>
      <c r="Y103" s="111"/>
      <c r="Z103" s="117"/>
      <c r="AA103" s="118">
        <v>3.0899999999999998E-4</v>
      </c>
      <c r="AB103" s="604"/>
      <c r="AC103" s="118"/>
      <c r="AD103" s="168"/>
      <c r="AE103" s="168"/>
      <c r="AF103" s="168"/>
      <c r="AG103" s="168"/>
      <c r="AH103" s="168"/>
      <c r="AI103" s="168"/>
    </row>
    <row r="104" spans="2:35" x14ac:dyDescent="0.2">
      <c r="B104" s="568"/>
      <c r="C104" s="563"/>
      <c r="D104" s="568"/>
      <c r="E104" s="568"/>
      <c r="F104" s="571"/>
      <c r="G104" s="571"/>
      <c r="H104" s="577"/>
      <c r="I104" s="578"/>
      <c r="J104" s="571"/>
      <c r="K104" s="563"/>
      <c r="L104" s="563"/>
      <c r="M104" s="563"/>
      <c r="N104" s="109" t="s">
        <v>31</v>
      </c>
      <c r="O104" s="110">
        <v>2.39</v>
      </c>
      <c r="P104" s="111"/>
      <c r="Q104" s="111"/>
      <c r="R104" s="112">
        <v>1E-3</v>
      </c>
      <c r="S104" s="567"/>
      <c r="T104" s="111"/>
      <c r="U104" s="111"/>
      <c r="V104" s="111"/>
      <c r="W104" s="111"/>
      <c r="X104" s="563"/>
      <c r="Y104" s="111"/>
      <c r="Z104" s="117"/>
      <c r="AA104" s="117">
        <v>0</v>
      </c>
      <c r="AB104" s="118">
        <v>9.1699999999999993E-3</v>
      </c>
      <c r="AC104" s="118">
        <v>9.1699999999999993E-3</v>
      </c>
      <c r="AD104" s="168" t="s">
        <v>31</v>
      </c>
      <c r="AE104" s="168"/>
      <c r="AF104" s="168"/>
      <c r="AG104" s="168"/>
      <c r="AH104" s="168"/>
      <c r="AI104" s="168"/>
    </row>
    <row r="105" spans="2:35" x14ac:dyDescent="0.2">
      <c r="Y105" s="92" t="s">
        <v>1249</v>
      </c>
      <c r="Z105" s="129">
        <f>MAX(Z6:Z104)</f>
        <v>4.7000000000000002E-3</v>
      </c>
      <c r="AA105" s="129">
        <f t="shared" ref="AA105:AC105" si="0">MAX(AA6:AA104)</f>
        <v>407</v>
      </c>
      <c r="AB105" s="221">
        <f t="shared" si="0"/>
        <v>1.97</v>
      </c>
      <c r="AC105" s="129">
        <f t="shared" si="0"/>
        <v>3.16</v>
      </c>
    </row>
    <row r="106" spans="2:35" x14ac:dyDescent="0.2">
      <c r="Y106" s="92" t="s">
        <v>1250</v>
      </c>
      <c r="Z106" s="92">
        <f>COUNTIF(Z6:Z104,"&gt;0,000001")</f>
        <v>24</v>
      </c>
      <c r="AA106" s="129">
        <f>COUNTIF(AA6:AA104,"&gt;1")</f>
        <v>10</v>
      </c>
      <c r="AB106" s="221">
        <f>COUNTIF(AB6:AB104,"&gt;1")</f>
        <v>3</v>
      </c>
      <c r="AC106" s="129">
        <f>COUNTIF(AC6:AC104,"&gt;1")</f>
        <v>2</v>
      </c>
    </row>
    <row r="107" spans="2:35" x14ac:dyDescent="0.2">
      <c r="AB107" s="92"/>
    </row>
    <row r="108" spans="2:35" x14ac:dyDescent="0.2">
      <c r="AB108" s="92"/>
    </row>
    <row r="109" spans="2:35" x14ac:dyDescent="0.2">
      <c r="AB109" s="92"/>
    </row>
    <row r="110" spans="2:35" x14ac:dyDescent="0.2">
      <c r="AB110" s="92"/>
    </row>
    <row r="111" spans="2:35" x14ac:dyDescent="0.2">
      <c r="AB111" s="92"/>
    </row>
    <row r="112" spans="2:35" x14ac:dyDescent="0.2">
      <c r="AB112" s="92"/>
    </row>
    <row r="113" spans="15:28" x14ac:dyDescent="0.2">
      <c r="O113" s="94" t="s">
        <v>28</v>
      </c>
      <c r="P113" s="97">
        <v>5.82</v>
      </c>
      <c r="AB113" s="92"/>
    </row>
    <row r="114" spans="15:28" x14ac:dyDescent="0.2">
      <c r="O114" s="94" t="s">
        <v>29</v>
      </c>
      <c r="P114" s="97">
        <v>5.65</v>
      </c>
      <c r="AB114" s="92"/>
    </row>
    <row r="115" spans="15:28" x14ac:dyDescent="0.2">
      <c r="O115" s="94" t="s">
        <v>30</v>
      </c>
      <c r="P115" s="95">
        <v>3.1099999999999999E-3</v>
      </c>
      <c r="AB115" s="92"/>
    </row>
    <row r="116" spans="15:28" x14ac:dyDescent="0.2">
      <c r="O116" s="94" t="s">
        <v>31</v>
      </c>
      <c r="P116" s="95">
        <v>0.92</v>
      </c>
      <c r="AB116" s="92"/>
    </row>
    <row r="117" spans="15:28" x14ac:dyDescent="0.2">
      <c r="O117" s="94" t="s">
        <v>32</v>
      </c>
      <c r="P117" s="95">
        <v>25.5</v>
      </c>
      <c r="AB117" s="92"/>
    </row>
    <row r="118" spans="15:28" x14ac:dyDescent="0.2">
      <c r="O118" s="94" t="s">
        <v>33</v>
      </c>
      <c r="P118" s="95">
        <v>0.32300000000000001</v>
      </c>
      <c r="AB118" s="92"/>
    </row>
    <row r="119" spans="15:28" x14ac:dyDescent="0.2">
      <c r="O119" s="94" t="s">
        <v>34</v>
      </c>
      <c r="P119" s="97">
        <v>3.13</v>
      </c>
      <c r="AB119" s="92"/>
    </row>
    <row r="120" spans="15:28" x14ac:dyDescent="0.2">
      <c r="O120" s="94" t="s">
        <v>35</v>
      </c>
      <c r="P120" s="95">
        <v>0.12</v>
      </c>
      <c r="AB120" s="92"/>
    </row>
    <row r="121" spans="15:28" x14ac:dyDescent="0.2">
      <c r="O121" s="94" t="s">
        <v>36</v>
      </c>
      <c r="P121" s="95">
        <v>4.0099999999999997E-2</v>
      </c>
      <c r="AB121" s="92"/>
    </row>
    <row r="122" spans="15:28" x14ac:dyDescent="0.2">
      <c r="O122" s="94" t="s">
        <v>37</v>
      </c>
      <c r="P122" s="98"/>
      <c r="AB122" s="92"/>
    </row>
    <row r="123" spans="15:28" x14ac:dyDescent="0.2">
      <c r="O123" s="94" t="s">
        <v>38</v>
      </c>
      <c r="P123" s="98"/>
      <c r="AB123" s="92"/>
    </row>
    <row r="124" spans="15:28" x14ac:dyDescent="0.2">
      <c r="O124" s="94" t="s">
        <v>63</v>
      </c>
      <c r="P124" s="98"/>
      <c r="AB124" s="92"/>
    </row>
    <row r="125" spans="15:28" x14ac:dyDescent="0.2">
      <c r="O125" s="94" t="s">
        <v>39</v>
      </c>
      <c r="P125" s="98"/>
      <c r="AB125" s="92"/>
    </row>
    <row r="126" spans="15:28" x14ac:dyDescent="0.2">
      <c r="O126" s="94" t="s">
        <v>40</v>
      </c>
      <c r="P126" s="97">
        <v>1.92</v>
      </c>
      <c r="AB126" s="92"/>
    </row>
    <row r="127" spans="15:28" x14ac:dyDescent="0.2">
      <c r="O127" s="94" t="s">
        <v>41</v>
      </c>
      <c r="P127" s="98"/>
      <c r="AB127" s="92"/>
    </row>
    <row r="128" spans="15:28" x14ac:dyDescent="0.2">
      <c r="O128" s="94" t="s">
        <v>42</v>
      </c>
      <c r="P128" s="98"/>
      <c r="AB128" s="92"/>
    </row>
    <row r="129" spans="15:28" x14ac:dyDescent="0.2">
      <c r="O129" s="94" t="s">
        <v>43</v>
      </c>
      <c r="P129" s="95">
        <v>1.6899999999999998E-2</v>
      </c>
      <c r="AB129" s="92"/>
    </row>
    <row r="130" spans="15:28" x14ac:dyDescent="0.2">
      <c r="O130" s="94" t="s">
        <v>44</v>
      </c>
      <c r="P130" s="95">
        <v>3.0799999999999998E-3</v>
      </c>
      <c r="AB130" s="92"/>
    </row>
    <row r="131" spans="15:28" x14ac:dyDescent="0.2">
      <c r="O131" s="94" t="s">
        <v>45</v>
      </c>
      <c r="P131" s="98"/>
      <c r="AB131" s="92"/>
    </row>
    <row r="132" spans="15:28" x14ac:dyDescent="0.2">
      <c r="O132" s="94" t="s">
        <v>46</v>
      </c>
      <c r="P132" s="98"/>
      <c r="AB132" s="92"/>
    </row>
    <row r="133" spans="15:28" x14ac:dyDescent="0.2">
      <c r="O133" s="94" t="s">
        <v>47</v>
      </c>
      <c r="P133" s="98"/>
      <c r="AB133" s="92"/>
    </row>
    <row r="134" spans="15:28" x14ac:dyDescent="0.2">
      <c r="O134" s="94" t="s">
        <v>48</v>
      </c>
      <c r="P134" s="98"/>
      <c r="AB134" s="92"/>
    </row>
    <row r="135" spans="15:28" x14ac:dyDescent="0.2">
      <c r="O135" s="94" t="s">
        <v>49</v>
      </c>
      <c r="P135" s="97">
        <v>407</v>
      </c>
      <c r="AB135" s="92"/>
    </row>
    <row r="136" spans="15:28" x14ac:dyDescent="0.2">
      <c r="O136" s="94" t="s">
        <v>50</v>
      </c>
      <c r="P136" s="95">
        <v>1.67E-3</v>
      </c>
      <c r="AB136" s="92"/>
    </row>
    <row r="137" spans="15:28" x14ac:dyDescent="0.2">
      <c r="O137" s="94" t="s">
        <v>51</v>
      </c>
      <c r="P137" s="95">
        <v>1.1000000000000001E-3</v>
      </c>
      <c r="AB137" s="92"/>
    </row>
    <row r="138" spans="15:28" x14ac:dyDescent="0.2">
      <c r="O138" s="94" t="s">
        <v>52</v>
      </c>
      <c r="P138" s="95">
        <v>0.28000000000000003</v>
      </c>
      <c r="AB138" s="92"/>
    </row>
    <row r="139" spans="15:28" x14ac:dyDescent="0.2">
      <c r="O139" s="94" t="s">
        <v>53</v>
      </c>
      <c r="P139" s="95">
        <v>3.2699999999999999E-3</v>
      </c>
      <c r="AB139" s="92"/>
    </row>
    <row r="140" spans="15:28" x14ac:dyDescent="0.2">
      <c r="O140" s="94" t="s">
        <v>54</v>
      </c>
      <c r="P140" s="95">
        <v>8.1899999999999994E-3</v>
      </c>
      <c r="AB140" s="92"/>
    </row>
    <row r="141" spans="15:28" x14ac:dyDescent="0.2">
      <c r="O141" s="94" t="s">
        <v>56</v>
      </c>
      <c r="P141" s="95">
        <v>0.23499999999999999</v>
      </c>
      <c r="AB141" s="92"/>
    </row>
    <row r="142" spans="15:28" x14ac:dyDescent="0.2">
      <c r="O142" s="94" t="s">
        <v>57</v>
      </c>
      <c r="P142" s="95">
        <v>3.3E-4</v>
      </c>
      <c r="AB142" s="92"/>
    </row>
    <row r="143" spans="15:28" x14ac:dyDescent="0.2">
      <c r="O143" s="94" t="s">
        <v>58</v>
      </c>
      <c r="P143" s="95">
        <v>1.65E-3</v>
      </c>
      <c r="AB143" s="92"/>
    </row>
    <row r="144" spans="15:28" x14ac:dyDescent="0.2">
      <c r="O144" s="94" t="s">
        <v>59</v>
      </c>
      <c r="P144" s="95">
        <v>1.32E-2</v>
      </c>
      <c r="AB144" s="92"/>
    </row>
    <row r="145" spans="15:28" x14ac:dyDescent="0.2">
      <c r="O145" s="94" t="s">
        <v>60</v>
      </c>
      <c r="P145" s="95">
        <v>2.4500000000000001E-2</v>
      </c>
      <c r="AB145" s="92"/>
    </row>
    <row r="146" spans="15:28" x14ac:dyDescent="0.2">
      <c r="O146" s="94" t="s">
        <v>61</v>
      </c>
      <c r="P146" s="95">
        <v>0.60399999999999998</v>
      </c>
      <c r="AB146" s="92"/>
    </row>
    <row r="147" spans="15:28" x14ac:dyDescent="0.2">
      <c r="O147" s="94" t="s">
        <v>56</v>
      </c>
      <c r="P147" s="97">
        <v>1.49</v>
      </c>
      <c r="AB147" s="92"/>
    </row>
    <row r="148" spans="15:28" x14ac:dyDescent="0.2">
      <c r="O148" s="602" t="s">
        <v>57</v>
      </c>
      <c r="P148" s="95">
        <v>1.2500000000000001E-2</v>
      </c>
      <c r="AB148" s="92"/>
    </row>
    <row r="149" spans="15:28" x14ac:dyDescent="0.2">
      <c r="O149" s="602"/>
      <c r="P149" s="95">
        <v>2.8500000000000001E-2</v>
      </c>
      <c r="AB149" s="92"/>
    </row>
    <row r="150" spans="15:28" x14ac:dyDescent="0.2">
      <c r="O150" s="602" t="s">
        <v>58</v>
      </c>
      <c r="P150" s="95">
        <v>2.7900000000000001E-2</v>
      </c>
      <c r="AB150" s="92"/>
    </row>
    <row r="151" spans="15:28" x14ac:dyDescent="0.2">
      <c r="O151" s="602"/>
      <c r="P151" s="95">
        <v>1.17E-2</v>
      </c>
      <c r="AB151" s="92"/>
    </row>
    <row r="152" spans="15:28" x14ac:dyDescent="0.2">
      <c r="O152" s="602" t="s">
        <v>59</v>
      </c>
      <c r="P152" s="95">
        <v>1.4E-2</v>
      </c>
      <c r="AB152" s="92"/>
    </row>
    <row r="153" spans="15:28" x14ac:dyDescent="0.2">
      <c r="O153" s="602"/>
      <c r="P153" s="95">
        <v>2.6700000000000002E-2</v>
      </c>
      <c r="AB153" s="92"/>
    </row>
    <row r="154" spans="15:28" x14ac:dyDescent="0.2">
      <c r="O154" s="602" t="s">
        <v>60</v>
      </c>
      <c r="P154" s="95">
        <v>5.0099999999999998E-5</v>
      </c>
      <c r="AB154" s="92"/>
    </row>
    <row r="155" spans="15:28" x14ac:dyDescent="0.2">
      <c r="O155" s="602"/>
      <c r="P155" s="95">
        <v>9.5299999999999999E-5</v>
      </c>
      <c r="AB155" s="92"/>
    </row>
    <row r="156" spans="15:28" x14ac:dyDescent="0.2">
      <c r="O156" s="602" t="s">
        <v>61</v>
      </c>
      <c r="P156" s="95">
        <v>5.4399999999999997E-2</v>
      </c>
      <c r="AB156" s="92"/>
    </row>
    <row r="157" spans="15:28" x14ac:dyDescent="0.2">
      <c r="O157" s="602"/>
      <c r="P157" s="97">
        <v>1.07</v>
      </c>
      <c r="AB157" s="92"/>
    </row>
    <row r="158" spans="15:28" x14ac:dyDescent="0.2">
      <c r="O158" s="99"/>
    </row>
    <row r="159" spans="15:28" x14ac:dyDescent="0.2">
      <c r="O159" s="94" t="s">
        <v>57</v>
      </c>
    </row>
    <row r="160" spans="15:28" x14ac:dyDescent="0.2">
      <c r="O160" s="94" t="s">
        <v>58</v>
      </c>
    </row>
    <row r="161" spans="15:15" x14ac:dyDescent="0.2">
      <c r="O161" s="94" t="s">
        <v>59</v>
      </c>
    </row>
    <row r="162" spans="15:15" x14ac:dyDescent="0.2">
      <c r="O162" s="94" t="s">
        <v>60</v>
      </c>
    </row>
    <row r="163" spans="15:15" x14ac:dyDescent="0.2">
      <c r="O163" s="94" t="s">
        <v>61</v>
      </c>
    </row>
    <row r="164" spans="15:15" x14ac:dyDescent="0.2">
      <c r="O164" s="94" t="s">
        <v>37</v>
      </c>
    </row>
    <row r="165" spans="15:15" x14ac:dyDescent="0.2">
      <c r="O165" s="94" t="s">
        <v>63</v>
      </c>
    </row>
    <row r="166" spans="15:15" x14ac:dyDescent="0.2">
      <c r="O166" s="94" t="s">
        <v>39</v>
      </c>
    </row>
    <row r="167" spans="15:15" x14ac:dyDescent="0.2">
      <c r="O167" s="94" t="s">
        <v>40</v>
      </c>
    </row>
    <row r="168" spans="15:15" x14ac:dyDescent="0.2">
      <c r="O168" s="94" t="s">
        <v>41</v>
      </c>
    </row>
    <row r="169" spans="15:15" x14ac:dyDescent="0.2">
      <c r="O169" s="94" t="s">
        <v>42</v>
      </c>
    </row>
    <row r="170" spans="15:15" x14ac:dyDescent="0.2">
      <c r="O170" s="94" t="s">
        <v>43</v>
      </c>
    </row>
    <row r="171" spans="15:15" x14ac:dyDescent="0.2">
      <c r="O171" s="94" t="s">
        <v>64</v>
      </c>
    </row>
    <row r="172" spans="15:15" x14ac:dyDescent="0.2">
      <c r="O172" s="94" t="s">
        <v>30</v>
      </c>
    </row>
    <row r="173" spans="15:15" x14ac:dyDescent="0.2">
      <c r="O173" s="94" t="s">
        <v>56</v>
      </c>
    </row>
    <row r="174" spans="15:15" x14ac:dyDescent="0.2">
      <c r="O174" s="94" t="s">
        <v>56</v>
      </c>
    </row>
    <row r="175" spans="15:15" x14ac:dyDescent="0.2">
      <c r="O175" s="94" t="s">
        <v>134</v>
      </c>
    </row>
    <row r="176" spans="15:15" x14ac:dyDescent="0.2">
      <c r="O176" s="94" t="s">
        <v>59</v>
      </c>
    </row>
    <row r="177" spans="15:15" x14ac:dyDescent="0.2">
      <c r="O177" s="94" t="s">
        <v>60</v>
      </c>
    </row>
    <row r="178" spans="15:15" x14ac:dyDescent="0.2">
      <c r="O178" s="94" t="s">
        <v>61</v>
      </c>
    </row>
    <row r="179" spans="15:15" x14ac:dyDescent="0.2">
      <c r="O179" s="94" t="s">
        <v>56</v>
      </c>
    </row>
    <row r="180" spans="15:15" x14ac:dyDescent="0.2">
      <c r="O180" s="94" t="s">
        <v>134</v>
      </c>
    </row>
    <row r="181" spans="15:15" x14ac:dyDescent="0.2">
      <c r="O181" s="602" t="s">
        <v>59</v>
      </c>
    </row>
    <row r="182" spans="15:15" x14ac:dyDescent="0.2">
      <c r="O182" s="602"/>
    </row>
    <row r="183" spans="15:15" x14ac:dyDescent="0.2">
      <c r="O183" s="602" t="s">
        <v>60</v>
      </c>
    </row>
    <row r="184" spans="15:15" x14ac:dyDescent="0.2">
      <c r="O184" s="602"/>
    </row>
    <row r="185" spans="15:15" x14ac:dyDescent="0.2">
      <c r="O185" s="602" t="s">
        <v>61</v>
      </c>
    </row>
    <row r="186" spans="15:15" x14ac:dyDescent="0.2">
      <c r="O186" s="602"/>
    </row>
  </sheetData>
  <mergeCells count="94">
    <mergeCell ref="AB102:AB103"/>
    <mergeCell ref="X56:X85"/>
    <mergeCell ref="X86:X104"/>
    <mergeCell ref="S96:S104"/>
    <mergeCell ref="S56:S73"/>
    <mergeCell ref="S83:S85"/>
    <mergeCell ref="S77:S79"/>
    <mergeCell ref="O156:O157"/>
    <mergeCell ref="O181:O182"/>
    <mergeCell ref="O183:O184"/>
    <mergeCell ref="O185:O186"/>
    <mergeCell ref="O148:O149"/>
    <mergeCell ref="O150:O151"/>
    <mergeCell ref="O152:O153"/>
    <mergeCell ref="O154:O155"/>
    <mergeCell ref="AD3:AI4"/>
    <mergeCell ref="K4:K5"/>
    <mergeCell ref="L4:L5"/>
    <mergeCell ref="O4:O5"/>
    <mergeCell ref="P4:P5"/>
    <mergeCell ref="Q4:Q5"/>
    <mergeCell ref="U4:W4"/>
    <mergeCell ref="X4:X5"/>
    <mergeCell ref="Z4:AA4"/>
    <mergeCell ref="Z3:AC3"/>
    <mergeCell ref="Y3:Y5"/>
    <mergeCell ref="R3:R5"/>
    <mergeCell ref="S3:S5"/>
    <mergeCell ref="T3:T5"/>
    <mergeCell ref="U3:X3"/>
    <mergeCell ref="Z2:AI2"/>
    <mergeCell ref="B3:B5"/>
    <mergeCell ref="C3:C5"/>
    <mergeCell ref="D3:D5"/>
    <mergeCell ref="E3:E5"/>
    <mergeCell ref="F3:F5"/>
    <mergeCell ref="G3:G5"/>
    <mergeCell ref="H3:I5"/>
    <mergeCell ref="J3:J5"/>
    <mergeCell ref="K3:L3"/>
    <mergeCell ref="M3:M5"/>
    <mergeCell ref="N3:N5"/>
    <mergeCell ref="O3:Q3"/>
    <mergeCell ref="B2:G2"/>
    <mergeCell ref="H2:R2"/>
    <mergeCell ref="S2:X2"/>
    <mergeCell ref="G6:G55"/>
    <mergeCell ref="S6:S33"/>
    <mergeCell ref="X6:X55"/>
    <mergeCell ref="S34:S39"/>
    <mergeCell ref="S40:S45"/>
    <mergeCell ref="B6:B55"/>
    <mergeCell ref="C6:C55"/>
    <mergeCell ref="D6:D55"/>
    <mergeCell ref="E6:E55"/>
    <mergeCell ref="F6:F55"/>
    <mergeCell ref="B56:B85"/>
    <mergeCell ref="C56:C85"/>
    <mergeCell ref="D56:D85"/>
    <mergeCell ref="E56:E85"/>
    <mergeCell ref="F56:F85"/>
    <mergeCell ref="G56:G85"/>
    <mergeCell ref="G86:G104"/>
    <mergeCell ref="H86:I87"/>
    <mergeCell ref="J86:J104"/>
    <mergeCell ref="K86:K104"/>
    <mergeCell ref="H80:I85"/>
    <mergeCell ref="H56:I79"/>
    <mergeCell ref="J56:J85"/>
    <mergeCell ref="K56:K85"/>
    <mergeCell ref="H88:I104"/>
    <mergeCell ref="B86:B104"/>
    <mergeCell ref="C86:C104"/>
    <mergeCell ref="D86:D104"/>
    <mergeCell ref="E86:E104"/>
    <mergeCell ref="F86:F104"/>
    <mergeCell ref="L56:L85"/>
    <mergeCell ref="O102:O103"/>
    <mergeCell ref="N102:N103"/>
    <mergeCell ref="M86:M104"/>
    <mergeCell ref="S74:S76"/>
    <mergeCell ref="S80:S82"/>
    <mergeCell ref="M56:M85"/>
    <mergeCell ref="S88:S95"/>
    <mergeCell ref="L86:L104"/>
    <mergeCell ref="AI7:AI8"/>
    <mergeCell ref="H6:I45"/>
    <mergeCell ref="H46:I55"/>
    <mergeCell ref="S46:S50"/>
    <mergeCell ref="S51:S55"/>
    <mergeCell ref="J6:J55"/>
    <mergeCell ref="K6:K55"/>
    <mergeCell ref="L6:L55"/>
    <mergeCell ref="M6:M5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3FA3-DBE0-4419-8C99-76C189E94EF4}">
  <sheetPr>
    <tabColor rgb="FFFFC000"/>
  </sheetPr>
  <dimension ref="A2:F9"/>
  <sheetViews>
    <sheetView workbookViewId="0">
      <selection activeCell="F10" sqref="F10"/>
    </sheetView>
  </sheetViews>
  <sheetFormatPr defaultRowHeight="14.4" x14ac:dyDescent="0.3"/>
  <cols>
    <col min="1" max="1" width="21.88671875" bestFit="1" customWidth="1"/>
  </cols>
  <sheetData>
    <row r="2" spans="1:6" x14ac:dyDescent="0.3">
      <c r="A2" s="92" t="s">
        <v>56</v>
      </c>
      <c r="C2" s="223">
        <v>0.23499999999999999</v>
      </c>
      <c r="D2" s="224">
        <v>4.4200000000000001E-4</v>
      </c>
      <c r="F2" s="225">
        <f>SUM(C2:D2)</f>
        <v>0.23544199999999998</v>
      </c>
    </row>
    <row r="3" spans="1:6" x14ac:dyDescent="0.3">
      <c r="A3" s="92" t="s">
        <v>57</v>
      </c>
      <c r="C3" s="223">
        <v>3.3E-4</v>
      </c>
      <c r="D3" s="224">
        <v>4.0600000000000002E-3</v>
      </c>
      <c r="F3" s="225">
        <f t="shared" ref="F3:F4" si="0">SUM(C3:D3)</f>
        <v>4.3899999999999998E-3</v>
      </c>
    </row>
    <row r="4" spans="1:6" x14ac:dyDescent="0.3">
      <c r="A4" s="92" t="s">
        <v>58</v>
      </c>
      <c r="C4" s="223">
        <v>1.65E-3</v>
      </c>
      <c r="D4" s="224">
        <v>2.5200000000000001E-3</v>
      </c>
      <c r="F4" s="225">
        <f t="shared" si="0"/>
        <v>4.1700000000000001E-3</v>
      </c>
    </row>
    <row r="5" spans="1:6" x14ac:dyDescent="0.3">
      <c r="A5" s="92" t="s">
        <v>59</v>
      </c>
      <c r="C5" s="223">
        <v>1.32E-2</v>
      </c>
      <c r="D5" s="224">
        <v>3.6699999999999998E-4</v>
      </c>
      <c r="E5" s="224">
        <v>1.0200000000000001E-3</v>
      </c>
      <c r="F5" s="225">
        <f>SUM(C5:E5)</f>
        <v>1.4586999999999999E-2</v>
      </c>
    </row>
    <row r="6" spans="1:6" x14ac:dyDescent="0.3">
      <c r="A6" s="92" t="s">
        <v>60</v>
      </c>
      <c r="C6" s="223">
        <v>2.4500000000000001E-2</v>
      </c>
      <c r="D6" s="224">
        <v>2.44E-5</v>
      </c>
      <c r="E6" s="224">
        <v>7.9600000000000001E-3</v>
      </c>
      <c r="F6" s="225">
        <f t="shared" ref="F6:F7" si="1">SUM(C6:E6)</f>
        <v>3.2484400000000004E-2</v>
      </c>
    </row>
    <row r="7" spans="1:6" x14ac:dyDescent="0.3">
      <c r="A7" s="92" t="s">
        <v>61</v>
      </c>
      <c r="C7" s="223">
        <v>0.60399999999999998</v>
      </c>
      <c r="D7" s="224">
        <v>3.3800000000000002E-3</v>
      </c>
      <c r="E7" s="224">
        <v>2.4600000000000002E-4</v>
      </c>
      <c r="F7" s="225">
        <f t="shared" si="1"/>
        <v>0.607626</v>
      </c>
    </row>
    <row r="8" spans="1:6" x14ac:dyDescent="0.3">
      <c r="A8" s="92" t="s">
        <v>1243</v>
      </c>
      <c r="C8" s="224">
        <v>2.52E-2</v>
      </c>
      <c r="F8" s="225">
        <f>SUM(C8)</f>
        <v>2.52E-2</v>
      </c>
    </row>
    <row r="9" spans="1:6" x14ac:dyDescent="0.3">
      <c r="A9" s="92" t="s">
        <v>797</v>
      </c>
      <c r="C9" s="224">
        <v>3.7100000000000002E-4</v>
      </c>
      <c r="F9" s="225">
        <f>SUM(C9)</f>
        <v>3.7100000000000002E-4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D861-82E0-4F2B-8156-3624DA39D1AE}">
  <sheetPr>
    <tabColor rgb="FFFFC000"/>
  </sheetPr>
  <dimension ref="B2:AM97"/>
  <sheetViews>
    <sheetView tabSelected="1" topLeftCell="K3" zoomScale="57" zoomScaleNormal="60" workbookViewId="0">
      <selection activeCell="AI14" sqref="AI14"/>
    </sheetView>
  </sheetViews>
  <sheetFormatPr defaultColWidth="9.109375" defaultRowHeight="10.199999999999999" x14ac:dyDescent="0.2"/>
  <cols>
    <col min="1" max="2" width="9.109375" style="92"/>
    <col min="3" max="3" width="12.33203125" style="92" customWidth="1"/>
    <col min="4" max="9" width="9.109375" style="92"/>
    <col min="10" max="10" width="9.109375" style="92" customWidth="1"/>
    <col min="11" max="11" width="14.44140625" style="92" customWidth="1"/>
    <col min="12" max="12" width="23.88671875" style="92" customWidth="1"/>
    <col min="13" max="13" width="10.5546875" style="92" customWidth="1"/>
    <col min="14" max="14" width="12.44140625" style="92" customWidth="1"/>
    <col min="15" max="15" width="15.5546875" style="92" customWidth="1"/>
    <col min="16" max="16" width="12" style="92" customWidth="1"/>
    <col min="17" max="17" width="14.5546875" style="92" customWidth="1"/>
    <col min="18" max="18" width="17.44140625" style="92" customWidth="1"/>
    <col min="19" max="19" width="14.44140625" style="92" customWidth="1"/>
    <col min="20" max="20" width="9.109375" style="92" customWidth="1"/>
    <col min="21" max="21" width="19.6640625" style="92" customWidth="1"/>
    <col min="22" max="23" width="9.109375" style="92" customWidth="1"/>
    <col min="24" max="24" width="17" style="92" customWidth="1"/>
    <col min="25" max="26" width="9.109375" style="92" customWidth="1"/>
    <col min="27" max="27" width="10.33203125" style="92" customWidth="1"/>
    <col min="28" max="28" width="18.44140625" style="92" customWidth="1"/>
    <col min="29" max="29" width="20.5546875" style="92" customWidth="1"/>
    <col min="30" max="30" width="11.5546875" style="92" customWidth="1"/>
    <col min="31" max="31" width="10" style="92" bestFit="1" customWidth="1"/>
    <col min="32" max="33" width="9.6640625" style="92" bestFit="1" customWidth="1"/>
    <col min="34" max="35" width="10.5546875" style="92" bestFit="1" customWidth="1"/>
    <col min="36" max="36" width="17.109375" style="92" customWidth="1"/>
    <col min="37" max="16384" width="9.109375" style="92"/>
  </cols>
  <sheetData>
    <row r="2" spans="2:39" ht="29.25" customHeight="1" x14ac:dyDescent="0.2">
      <c r="B2" s="591" t="s">
        <v>1119</v>
      </c>
      <c r="C2" s="591"/>
      <c r="D2" s="591"/>
      <c r="E2" s="591"/>
      <c r="F2" s="591"/>
      <c r="G2" s="591"/>
      <c r="H2" s="657" t="s">
        <v>1124</v>
      </c>
      <c r="I2" s="658"/>
      <c r="J2" s="658"/>
      <c r="K2" s="658"/>
      <c r="L2" s="658"/>
      <c r="M2" s="658"/>
      <c r="N2" s="658"/>
      <c r="O2" s="658"/>
      <c r="P2" s="658"/>
      <c r="Q2" s="658"/>
      <c r="R2" s="659"/>
      <c r="S2" s="657" t="s">
        <v>1140</v>
      </c>
      <c r="T2" s="658"/>
      <c r="U2" s="658"/>
      <c r="V2" s="658"/>
      <c r="W2" s="658"/>
      <c r="X2" s="658"/>
      <c r="Y2" s="658"/>
      <c r="Z2" s="658"/>
      <c r="AA2" s="658"/>
      <c r="AB2" s="659"/>
      <c r="AC2" s="91" t="s">
        <v>1006</v>
      </c>
      <c r="AD2" s="236" t="s">
        <v>429</v>
      </c>
      <c r="AE2" s="236"/>
      <c r="AF2" s="236"/>
      <c r="AG2" s="236"/>
      <c r="AH2" s="236"/>
      <c r="AI2" s="236"/>
      <c r="AJ2" s="236" t="s">
        <v>68</v>
      </c>
    </row>
    <row r="3" spans="2:39" ht="32.25" customHeight="1" x14ac:dyDescent="0.2">
      <c r="B3" s="590" t="s">
        <v>1029</v>
      </c>
      <c r="C3" s="591" t="s">
        <v>1141</v>
      </c>
      <c r="D3" s="591" t="s">
        <v>1120</v>
      </c>
      <c r="E3" s="591" t="s">
        <v>1121</v>
      </c>
      <c r="F3" s="591" t="s">
        <v>1142</v>
      </c>
      <c r="G3" s="591" t="s">
        <v>1122</v>
      </c>
      <c r="H3" s="590" t="s">
        <v>4</v>
      </c>
      <c r="I3" s="590"/>
      <c r="J3" s="591" t="s">
        <v>1123</v>
      </c>
      <c r="K3" s="591" t="s">
        <v>70</v>
      </c>
      <c r="L3" s="591" t="s">
        <v>20</v>
      </c>
      <c r="M3" s="592" t="s">
        <v>21</v>
      </c>
      <c r="N3" s="593"/>
      <c r="O3" s="594"/>
      <c r="P3" s="583" t="s">
        <v>74</v>
      </c>
      <c r="Q3" s="592" t="s">
        <v>69</v>
      </c>
      <c r="R3" s="594"/>
      <c r="S3" s="591" t="s">
        <v>71</v>
      </c>
      <c r="T3" s="591" t="s">
        <v>997</v>
      </c>
      <c r="U3" s="592" t="s">
        <v>24</v>
      </c>
      <c r="V3" s="593"/>
      <c r="W3" s="593"/>
      <c r="X3" s="593"/>
      <c r="Y3" s="593"/>
      <c r="Z3" s="593"/>
      <c r="AA3" s="593"/>
      <c r="AB3" s="594"/>
      <c r="AC3" s="583" t="s">
        <v>1091</v>
      </c>
      <c r="AD3" s="236"/>
      <c r="AE3" s="236"/>
      <c r="AF3" s="236"/>
      <c r="AG3" s="236"/>
      <c r="AH3" s="236"/>
      <c r="AI3" s="236"/>
      <c r="AJ3" s="236"/>
    </row>
    <row r="4" spans="2:39" ht="44.4" customHeight="1" x14ac:dyDescent="0.2">
      <c r="B4" s="590"/>
      <c r="C4" s="591"/>
      <c r="D4" s="591"/>
      <c r="E4" s="591"/>
      <c r="F4" s="591"/>
      <c r="G4" s="591"/>
      <c r="H4" s="590"/>
      <c r="I4" s="590"/>
      <c r="J4" s="591"/>
      <c r="K4" s="591"/>
      <c r="L4" s="591"/>
      <c r="M4" s="596" t="s">
        <v>1239</v>
      </c>
      <c r="N4" s="583" t="s">
        <v>1057</v>
      </c>
      <c r="O4" s="582" t="s">
        <v>73</v>
      </c>
      <c r="P4" s="584"/>
      <c r="Q4" s="583" t="s">
        <v>1151</v>
      </c>
      <c r="R4" s="583" t="s">
        <v>1087</v>
      </c>
      <c r="S4" s="591"/>
      <c r="T4" s="591"/>
      <c r="U4" s="592" t="s">
        <v>1046</v>
      </c>
      <c r="V4" s="593"/>
      <c r="W4" s="593"/>
      <c r="X4" s="593"/>
      <c r="Y4" s="593"/>
      <c r="Z4" s="593"/>
      <c r="AA4" s="594"/>
      <c r="AB4" s="596" t="s">
        <v>14</v>
      </c>
      <c r="AC4" s="584"/>
      <c r="AD4" s="236" t="s">
        <v>1200</v>
      </c>
      <c r="AE4" s="236"/>
      <c r="AF4" s="236" t="s">
        <v>1201</v>
      </c>
      <c r="AG4" s="236"/>
      <c r="AH4" s="236" t="s">
        <v>1202</v>
      </c>
      <c r="AI4" s="236"/>
      <c r="AJ4" s="661" t="s">
        <v>1203</v>
      </c>
    </row>
    <row r="5" spans="2:39" ht="44.4" customHeight="1" x14ac:dyDescent="0.2">
      <c r="B5" s="590"/>
      <c r="C5" s="591"/>
      <c r="D5" s="591"/>
      <c r="E5" s="591"/>
      <c r="F5" s="591"/>
      <c r="G5" s="591"/>
      <c r="H5" s="590"/>
      <c r="I5" s="590"/>
      <c r="J5" s="591"/>
      <c r="K5" s="591"/>
      <c r="L5" s="583"/>
      <c r="M5" s="660"/>
      <c r="N5" s="584"/>
      <c r="O5" s="582"/>
      <c r="P5" s="584"/>
      <c r="Q5" s="584"/>
      <c r="R5" s="584"/>
      <c r="S5" s="591"/>
      <c r="T5" s="591"/>
      <c r="U5" s="591" t="s">
        <v>1204</v>
      </c>
      <c r="V5" s="591"/>
      <c r="W5" s="591"/>
      <c r="X5" s="593" t="s">
        <v>1205</v>
      </c>
      <c r="Y5" s="593"/>
      <c r="Z5" s="593"/>
      <c r="AA5" s="594"/>
      <c r="AB5" s="660"/>
      <c r="AC5" s="584"/>
      <c r="AD5" s="89"/>
      <c r="AE5" s="89"/>
      <c r="AF5" s="89"/>
      <c r="AG5" s="89"/>
      <c r="AH5" s="89"/>
      <c r="AI5" s="89"/>
      <c r="AJ5" s="231"/>
    </row>
    <row r="6" spans="2:39" ht="28.8" customHeight="1" x14ac:dyDescent="0.2">
      <c r="B6" s="590"/>
      <c r="C6" s="591"/>
      <c r="D6" s="591"/>
      <c r="E6" s="591"/>
      <c r="F6" s="591"/>
      <c r="G6" s="591"/>
      <c r="H6" s="590"/>
      <c r="I6" s="590"/>
      <c r="J6" s="591"/>
      <c r="K6" s="591"/>
      <c r="L6" s="583"/>
      <c r="M6" s="597"/>
      <c r="N6" s="598"/>
      <c r="O6" s="582"/>
      <c r="P6" s="598"/>
      <c r="Q6" s="598"/>
      <c r="R6" s="598"/>
      <c r="S6" s="591"/>
      <c r="T6" s="591"/>
      <c r="U6" s="90" t="s">
        <v>1206</v>
      </c>
      <c r="V6" s="90" t="s">
        <v>15</v>
      </c>
      <c r="W6" s="90" t="s">
        <v>16</v>
      </c>
      <c r="X6" s="90" t="s">
        <v>1206</v>
      </c>
      <c r="Y6" s="90" t="s">
        <v>15</v>
      </c>
      <c r="Z6" s="90" t="s">
        <v>16</v>
      </c>
      <c r="AA6" s="90" t="s">
        <v>1143</v>
      </c>
      <c r="AB6" s="597"/>
      <c r="AC6" s="598"/>
      <c r="AD6" s="86" t="s">
        <v>2</v>
      </c>
      <c r="AE6" s="86" t="s">
        <v>3</v>
      </c>
      <c r="AF6" s="86" t="s">
        <v>2</v>
      </c>
      <c r="AG6" s="86" t="s">
        <v>3</v>
      </c>
      <c r="AH6" s="86" t="s">
        <v>2</v>
      </c>
      <c r="AI6" s="86" t="s">
        <v>3</v>
      </c>
      <c r="AJ6" s="662"/>
    </row>
    <row r="7" spans="2:39" ht="12" customHeight="1" x14ac:dyDescent="0.25">
      <c r="B7" s="609" t="s">
        <v>1162</v>
      </c>
      <c r="C7" s="612" t="s">
        <v>1173</v>
      </c>
      <c r="D7" s="609" t="s">
        <v>1161</v>
      </c>
      <c r="E7" s="609" t="s">
        <v>1158</v>
      </c>
      <c r="F7" s="609" t="s">
        <v>1159</v>
      </c>
      <c r="G7" s="609" t="s">
        <v>1160</v>
      </c>
      <c r="H7" s="641" t="s">
        <v>1163</v>
      </c>
      <c r="I7" s="641"/>
      <c r="J7" s="642"/>
      <c r="K7" s="641" t="s">
        <v>1207</v>
      </c>
      <c r="L7" s="132" t="s">
        <v>60</v>
      </c>
      <c r="M7" s="133">
        <v>85.2</v>
      </c>
      <c r="N7" s="643">
        <v>44440</v>
      </c>
      <c r="O7" s="132" t="s">
        <v>126</v>
      </c>
      <c r="P7" s="132"/>
      <c r="Q7" s="641" t="s">
        <v>1208</v>
      </c>
      <c r="R7" s="641" t="s">
        <v>1176</v>
      </c>
      <c r="S7" s="646" t="s">
        <v>1209</v>
      </c>
      <c r="T7" s="641" t="s">
        <v>1210</v>
      </c>
      <c r="U7" s="641" t="s">
        <v>1211</v>
      </c>
      <c r="V7" s="641">
        <v>15</v>
      </c>
      <c r="W7" s="641">
        <v>70</v>
      </c>
      <c r="X7" s="641" t="s">
        <v>1211</v>
      </c>
      <c r="Y7" s="641">
        <v>15</v>
      </c>
      <c r="Z7" s="641">
        <v>70</v>
      </c>
      <c r="AA7" s="641">
        <v>70</v>
      </c>
      <c r="AB7" s="646" t="s">
        <v>1174</v>
      </c>
      <c r="AC7" s="131"/>
      <c r="AD7" s="157"/>
      <c r="AE7" s="133">
        <v>6.9700000000000003E-4</v>
      </c>
      <c r="AF7" s="157"/>
      <c r="AG7" s="133">
        <v>9.4300000000000007E-9</v>
      </c>
      <c r="AH7" s="157"/>
      <c r="AI7" s="133">
        <v>4.9499999999999997E-9</v>
      </c>
      <c r="AJ7" s="133">
        <v>4.6000000000000001E-4</v>
      </c>
      <c r="AK7" s="92" t="s">
        <v>60</v>
      </c>
    </row>
    <row r="8" spans="2:39" ht="21" customHeight="1" x14ac:dyDescent="0.25">
      <c r="B8" s="610"/>
      <c r="C8" s="613"/>
      <c r="D8" s="610"/>
      <c r="E8" s="610"/>
      <c r="F8" s="610"/>
      <c r="G8" s="610"/>
      <c r="H8" s="641"/>
      <c r="I8" s="641"/>
      <c r="J8" s="642"/>
      <c r="K8" s="641"/>
      <c r="L8" s="132" t="s">
        <v>61</v>
      </c>
      <c r="M8" s="133">
        <v>1.79</v>
      </c>
      <c r="N8" s="644"/>
      <c r="O8" s="132" t="s">
        <v>126</v>
      </c>
      <c r="P8" s="132"/>
      <c r="Q8" s="641"/>
      <c r="R8" s="641"/>
      <c r="S8" s="647"/>
      <c r="T8" s="641"/>
      <c r="U8" s="641"/>
      <c r="V8" s="641"/>
      <c r="W8" s="641"/>
      <c r="X8" s="641"/>
      <c r="Y8" s="641"/>
      <c r="Z8" s="641"/>
      <c r="AA8" s="641"/>
      <c r="AB8" s="647"/>
      <c r="AC8" s="132"/>
      <c r="AD8" s="157"/>
      <c r="AE8" s="133">
        <v>9.77E-4</v>
      </c>
      <c r="AF8" s="157"/>
      <c r="AG8" s="133">
        <v>7.9299999999999995E-10</v>
      </c>
      <c r="AH8" s="157"/>
      <c r="AI8" s="133">
        <v>4.1600000000000001E-10</v>
      </c>
      <c r="AJ8" s="133">
        <v>0.68899999999999995</v>
      </c>
      <c r="AK8" s="92" t="s">
        <v>61</v>
      </c>
    </row>
    <row r="9" spans="2:39" ht="12" customHeight="1" x14ac:dyDescent="0.25">
      <c r="B9" s="610"/>
      <c r="C9" s="613"/>
      <c r="D9" s="610"/>
      <c r="E9" s="610"/>
      <c r="F9" s="610"/>
      <c r="G9" s="610"/>
      <c r="H9" s="641"/>
      <c r="I9" s="641"/>
      <c r="J9" s="642"/>
      <c r="K9" s="641"/>
      <c r="L9" s="132" t="s">
        <v>37</v>
      </c>
      <c r="M9" s="133">
        <v>4.5999999999999996</v>
      </c>
      <c r="N9" s="644"/>
      <c r="O9" s="132" t="s">
        <v>126</v>
      </c>
      <c r="P9" s="132">
        <v>0.5</v>
      </c>
      <c r="Q9" s="641"/>
      <c r="R9" s="641"/>
      <c r="S9" s="647"/>
      <c r="T9" s="641"/>
      <c r="U9" s="641" t="s">
        <v>1212</v>
      </c>
      <c r="V9" s="649">
        <v>70</v>
      </c>
      <c r="W9" s="649"/>
      <c r="X9" s="641" t="s">
        <v>1212</v>
      </c>
      <c r="Y9" s="640">
        <v>70</v>
      </c>
      <c r="Z9" s="640"/>
      <c r="AA9" s="640"/>
      <c r="AB9" s="647"/>
      <c r="AC9" s="132"/>
      <c r="AD9" s="158">
        <v>3.7699999999999999E-6</v>
      </c>
      <c r="AE9" s="159"/>
      <c r="AF9" s="133">
        <v>2.18E-12</v>
      </c>
      <c r="AG9" s="157"/>
      <c r="AH9" s="133">
        <v>2.4799999999999999E-12</v>
      </c>
      <c r="AI9" s="157"/>
      <c r="AJ9" s="133">
        <v>195</v>
      </c>
      <c r="AK9" s="92" t="s">
        <v>37</v>
      </c>
    </row>
    <row r="10" spans="2:39" ht="12" customHeight="1" x14ac:dyDescent="0.25">
      <c r="B10" s="610"/>
      <c r="C10" s="613"/>
      <c r="D10" s="610"/>
      <c r="E10" s="610"/>
      <c r="F10" s="610"/>
      <c r="G10" s="610"/>
      <c r="H10" s="641"/>
      <c r="I10" s="641"/>
      <c r="J10" s="642"/>
      <c r="K10" s="641"/>
      <c r="L10" s="132" t="s">
        <v>40</v>
      </c>
      <c r="M10" s="133">
        <v>4.4000000000000004</v>
      </c>
      <c r="N10" s="644"/>
      <c r="O10" s="132" t="s">
        <v>126</v>
      </c>
      <c r="P10" s="132">
        <v>0.1</v>
      </c>
      <c r="Q10" s="641"/>
      <c r="R10" s="641"/>
      <c r="S10" s="647"/>
      <c r="T10" s="641"/>
      <c r="U10" s="641"/>
      <c r="V10" s="649"/>
      <c r="W10" s="649"/>
      <c r="X10" s="641"/>
      <c r="Y10" s="640"/>
      <c r="Z10" s="640"/>
      <c r="AA10" s="640"/>
      <c r="AB10" s="647"/>
      <c r="AC10" s="132"/>
      <c r="AD10" s="158">
        <v>3.6000000000000001E-5</v>
      </c>
      <c r="AE10" s="133">
        <v>0.25600000000000001</v>
      </c>
      <c r="AF10" s="133">
        <v>2.09E-11</v>
      </c>
      <c r="AG10" s="133">
        <v>4.8699999999999998E-5</v>
      </c>
      <c r="AH10" s="133">
        <v>2.37E-11</v>
      </c>
      <c r="AI10" s="133">
        <v>2.5599999999999999E-5</v>
      </c>
      <c r="AJ10" s="133">
        <v>563</v>
      </c>
      <c r="AK10" s="92" t="s">
        <v>40</v>
      </c>
    </row>
    <row r="11" spans="2:39" ht="12" x14ac:dyDescent="0.25">
      <c r="B11" s="610"/>
      <c r="C11" s="613"/>
      <c r="D11" s="610"/>
      <c r="E11" s="610"/>
      <c r="F11" s="610"/>
      <c r="G11" s="610"/>
      <c r="H11" s="641"/>
      <c r="I11" s="641"/>
      <c r="J11" s="642"/>
      <c r="K11" s="641"/>
      <c r="L11" s="132" t="s">
        <v>63</v>
      </c>
      <c r="M11" s="133">
        <v>0.96</v>
      </c>
      <c r="N11" s="644"/>
      <c r="O11" s="132" t="s">
        <v>126</v>
      </c>
      <c r="P11" s="132">
        <v>0.5</v>
      </c>
      <c r="Q11" s="641"/>
      <c r="R11" s="641"/>
      <c r="S11" s="648"/>
      <c r="T11" s="641"/>
      <c r="U11" s="641"/>
      <c r="V11" s="649"/>
      <c r="W11" s="649"/>
      <c r="X11" s="641"/>
      <c r="Y11" s="640"/>
      <c r="Z11" s="640"/>
      <c r="AA11" s="640"/>
      <c r="AB11" s="647"/>
      <c r="AC11" s="132"/>
      <c r="AD11" s="160">
        <v>7.8599999999999997E-7</v>
      </c>
      <c r="AE11" s="159"/>
      <c r="AF11" s="133">
        <v>4.5599999999999998E-13</v>
      </c>
      <c r="AG11" s="157"/>
      <c r="AH11" s="133">
        <v>5.1700000000000002E-13</v>
      </c>
      <c r="AI11" s="157"/>
      <c r="AJ11" s="133">
        <v>12</v>
      </c>
      <c r="AK11" s="92" t="s">
        <v>63</v>
      </c>
    </row>
    <row r="12" spans="2:39" ht="12" x14ac:dyDescent="0.25">
      <c r="B12" s="610"/>
      <c r="C12" s="613"/>
      <c r="D12" s="610"/>
      <c r="E12" s="610"/>
      <c r="F12" s="610"/>
      <c r="G12" s="610"/>
      <c r="H12" s="641"/>
      <c r="I12" s="641"/>
      <c r="J12" s="642"/>
      <c r="K12" s="641"/>
      <c r="L12" s="132" t="s">
        <v>39</v>
      </c>
      <c r="M12" s="133">
        <v>2.87</v>
      </c>
      <c r="N12" s="644"/>
      <c r="O12" s="132" t="s">
        <v>126</v>
      </c>
      <c r="P12" s="135">
        <v>0.5</v>
      </c>
      <c r="Q12" s="641"/>
      <c r="R12" s="641"/>
      <c r="S12" s="646" t="s">
        <v>1213</v>
      </c>
      <c r="T12" s="641"/>
      <c r="U12" s="641" t="s">
        <v>1214</v>
      </c>
      <c r="V12" s="649">
        <v>6</v>
      </c>
      <c r="W12" s="649">
        <v>24</v>
      </c>
      <c r="X12" s="641" t="s">
        <v>1214</v>
      </c>
      <c r="Y12" s="640">
        <v>6</v>
      </c>
      <c r="Z12" s="640">
        <v>24</v>
      </c>
      <c r="AA12" s="640">
        <v>25</v>
      </c>
      <c r="AB12" s="647"/>
      <c r="AC12" s="132"/>
      <c r="AD12" s="160">
        <v>2.35E-7</v>
      </c>
      <c r="AE12" s="159"/>
      <c r="AF12" s="159">
        <v>1.36E-13</v>
      </c>
      <c r="AG12" s="157"/>
      <c r="AH12" s="133">
        <v>1.54E-13</v>
      </c>
      <c r="AI12" s="157"/>
      <c r="AJ12" s="133">
        <v>73.5</v>
      </c>
      <c r="AK12" s="92" t="s">
        <v>39</v>
      </c>
    </row>
    <row r="13" spans="2:39" ht="12" customHeight="1" x14ac:dyDescent="0.25">
      <c r="B13" s="610"/>
      <c r="C13" s="613"/>
      <c r="D13" s="610"/>
      <c r="E13" s="610"/>
      <c r="F13" s="610"/>
      <c r="G13" s="610"/>
      <c r="H13" s="641"/>
      <c r="I13" s="641"/>
      <c r="J13" s="642"/>
      <c r="K13" s="641"/>
      <c r="L13" s="132" t="s">
        <v>43</v>
      </c>
      <c r="M13" s="133">
        <v>3.66</v>
      </c>
      <c r="N13" s="644"/>
      <c r="O13" s="132" t="s">
        <v>126</v>
      </c>
      <c r="P13" s="135">
        <v>0.1</v>
      </c>
      <c r="Q13" s="641"/>
      <c r="R13" s="641"/>
      <c r="S13" s="647"/>
      <c r="T13" s="641"/>
      <c r="U13" s="641"/>
      <c r="V13" s="649"/>
      <c r="W13" s="649"/>
      <c r="X13" s="641"/>
      <c r="Y13" s="640"/>
      <c r="Z13" s="640"/>
      <c r="AA13" s="640"/>
      <c r="AB13" s="647"/>
      <c r="AC13" s="132"/>
      <c r="AD13" s="159"/>
      <c r="AE13" s="133">
        <v>2.1299999999999999E-3</v>
      </c>
      <c r="AF13" s="157"/>
      <c r="AG13" s="133">
        <v>2.7E-8</v>
      </c>
      <c r="AH13" s="157"/>
      <c r="AI13" s="133">
        <v>1.42E-8</v>
      </c>
      <c r="AJ13" s="133">
        <v>174</v>
      </c>
      <c r="AK13" s="92" t="s">
        <v>43</v>
      </c>
    </row>
    <row r="14" spans="2:39" ht="12" x14ac:dyDescent="0.25">
      <c r="B14" s="610"/>
      <c r="C14" s="613"/>
      <c r="D14" s="610"/>
      <c r="E14" s="610"/>
      <c r="F14" s="610"/>
      <c r="G14" s="610"/>
      <c r="H14" s="641"/>
      <c r="I14" s="641"/>
      <c r="J14" s="642"/>
      <c r="K14" s="641"/>
      <c r="L14" s="132" t="s">
        <v>44</v>
      </c>
      <c r="M14" s="133">
        <v>1.48</v>
      </c>
      <c r="N14" s="644"/>
      <c r="O14" s="132" t="s">
        <v>126</v>
      </c>
      <c r="P14" s="135">
        <v>0.1</v>
      </c>
      <c r="Q14" s="641"/>
      <c r="R14" s="641"/>
      <c r="S14" s="647"/>
      <c r="T14" s="641"/>
      <c r="U14" s="641" t="s">
        <v>1215</v>
      </c>
      <c r="V14" s="649">
        <v>350</v>
      </c>
      <c r="W14" s="649">
        <v>350</v>
      </c>
      <c r="X14" s="641" t="s">
        <v>1215</v>
      </c>
      <c r="Y14" s="640">
        <v>350</v>
      </c>
      <c r="Z14" s="640">
        <v>350</v>
      </c>
      <c r="AA14" s="640">
        <v>350</v>
      </c>
      <c r="AB14" s="647"/>
      <c r="AC14" s="132"/>
      <c r="AD14" s="159"/>
      <c r="AE14" s="133">
        <v>8.5999999999999998E-4</v>
      </c>
      <c r="AF14" s="157"/>
      <c r="AG14" s="160">
        <v>1.09E-8</v>
      </c>
      <c r="AH14" s="157"/>
      <c r="AI14" s="133">
        <v>5.7399999999999996E-9</v>
      </c>
      <c r="AJ14" s="160"/>
      <c r="AK14" s="92" t="s">
        <v>44</v>
      </c>
    </row>
    <row r="15" spans="2:39" ht="12" customHeight="1" x14ac:dyDescent="0.25">
      <c r="B15" s="610"/>
      <c r="C15" s="613"/>
      <c r="D15" s="610"/>
      <c r="E15" s="610"/>
      <c r="F15" s="610"/>
      <c r="G15" s="610"/>
      <c r="H15" s="641"/>
      <c r="I15" s="641"/>
      <c r="J15" s="642"/>
      <c r="K15" s="641"/>
      <c r="L15" s="132" t="s">
        <v>42</v>
      </c>
      <c r="M15" s="133">
        <v>1.77</v>
      </c>
      <c r="N15" s="644"/>
      <c r="O15" s="132" t="s">
        <v>126</v>
      </c>
      <c r="P15" s="135">
        <v>0.1</v>
      </c>
      <c r="Q15" s="641"/>
      <c r="R15" s="641"/>
      <c r="S15" s="647"/>
      <c r="T15" s="641"/>
      <c r="U15" s="641"/>
      <c r="V15" s="649"/>
      <c r="W15" s="649"/>
      <c r="X15" s="641"/>
      <c r="Y15" s="640"/>
      <c r="Z15" s="640"/>
      <c r="AA15" s="640"/>
      <c r="AB15" s="647"/>
      <c r="AC15" s="132"/>
      <c r="AD15" s="158">
        <v>1.45E-5</v>
      </c>
      <c r="AE15" s="159"/>
      <c r="AF15" s="133">
        <v>8.3999999999999998E-12</v>
      </c>
      <c r="AG15" s="157"/>
      <c r="AH15" s="133">
        <v>9.53E-12</v>
      </c>
      <c r="AI15" s="157"/>
      <c r="AJ15" s="133">
        <v>69.7</v>
      </c>
      <c r="AK15" s="92" t="s">
        <v>42</v>
      </c>
    </row>
    <row r="16" spans="2:39" ht="14.4" customHeight="1" x14ac:dyDescent="0.25">
      <c r="B16" s="610"/>
      <c r="C16" s="613"/>
      <c r="D16" s="610"/>
      <c r="E16" s="610"/>
      <c r="F16" s="610"/>
      <c r="G16" s="610"/>
      <c r="H16" s="641"/>
      <c r="I16" s="641"/>
      <c r="J16" s="642"/>
      <c r="K16" s="641"/>
      <c r="L16" s="132" t="s">
        <v>47</v>
      </c>
      <c r="M16" s="133">
        <v>0.41</v>
      </c>
      <c r="N16" s="644"/>
      <c r="O16" s="132" t="s">
        <v>126</v>
      </c>
      <c r="P16" s="135">
        <v>0.1</v>
      </c>
      <c r="Q16" s="641"/>
      <c r="R16" s="641"/>
      <c r="S16" s="648"/>
      <c r="T16" s="641"/>
      <c r="U16" s="641"/>
      <c r="V16" s="649"/>
      <c r="W16" s="649"/>
      <c r="X16" s="641"/>
      <c r="Y16" s="640"/>
      <c r="Z16" s="640"/>
      <c r="AA16" s="640"/>
      <c r="AB16" s="647"/>
      <c r="AC16" s="132"/>
      <c r="AD16" s="158">
        <v>6.1600000000000007E-5</v>
      </c>
      <c r="AE16" s="159"/>
      <c r="AF16" s="160">
        <v>2.5899999999999999E-11</v>
      </c>
      <c r="AG16" s="157"/>
      <c r="AH16" s="133">
        <v>1.6300000000000001E-11</v>
      </c>
      <c r="AI16" s="157"/>
      <c r="AJ16" s="160"/>
      <c r="AK16" s="92" t="s">
        <v>47</v>
      </c>
      <c r="AM16" s="129"/>
    </row>
    <row r="17" spans="2:37" ht="12" x14ac:dyDescent="0.25">
      <c r="B17" s="610"/>
      <c r="C17" s="613"/>
      <c r="D17" s="610"/>
      <c r="E17" s="610"/>
      <c r="F17" s="610"/>
      <c r="G17" s="610"/>
      <c r="H17" s="641"/>
      <c r="I17" s="641"/>
      <c r="J17" s="642"/>
      <c r="K17" s="641"/>
      <c r="L17" s="132" t="s">
        <v>45</v>
      </c>
      <c r="M17" s="133">
        <v>0.12</v>
      </c>
      <c r="N17" s="644"/>
      <c r="O17" s="132" t="s">
        <v>126</v>
      </c>
      <c r="P17" s="135">
        <v>0.1</v>
      </c>
      <c r="Q17" s="641"/>
      <c r="R17" s="641"/>
      <c r="S17" s="646" t="s">
        <v>1216</v>
      </c>
      <c r="T17" s="641"/>
      <c r="U17" s="641"/>
      <c r="V17" s="649"/>
      <c r="W17" s="649"/>
      <c r="X17" s="641"/>
      <c r="Y17" s="640"/>
      <c r="Z17" s="640"/>
      <c r="AA17" s="640"/>
      <c r="AB17" s="647"/>
      <c r="AC17" s="132"/>
      <c r="AD17" s="157">
        <v>1.8E-5</v>
      </c>
      <c r="AE17" s="159"/>
      <c r="AF17" s="160">
        <v>7.5899999999999998E-12</v>
      </c>
      <c r="AG17" s="157"/>
      <c r="AH17" s="133">
        <v>4.7800000000000002E-12</v>
      </c>
      <c r="AI17" s="157"/>
      <c r="AJ17" s="160"/>
      <c r="AK17" s="92" t="s">
        <v>45</v>
      </c>
    </row>
    <row r="18" spans="2:37" ht="14.4" customHeight="1" x14ac:dyDescent="0.25">
      <c r="B18" s="610"/>
      <c r="C18" s="613"/>
      <c r="D18" s="610"/>
      <c r="E18" s="610"/>
      <c r="F18" s="610"/>
      <c r="G18" s="610"/>
      <c r="H18" s="641"/>
      <c r="I18" s="641"/>
      <c r="J18" s="642"/>
      <c r="K18" s="641"/>
      <c r="L18" s="132" t="s">
        <v>46</v>
      </c>
      <c r="M18" s="133">
        <v>0.4</v>
      </c>
      <c r="N18" s="644"/>
      <c r="O18" s="132" t="s">
        <v>126</v>
      </c>
      <c r="P18" s="132">
        <v>0.1</v>
      </c>
      <c r="Q18" s="641"/>
      <c r="R18" s="641"/>
      <c r="S18" s="647"/>
      <c r="T18" s="641"/>
      <c r="U18" s="641"/>
      <c r="V18" s="649"/>
      <c r="W18" s="649"/>
      <c r="X18" s="641"/>
      <c r="Y18" s="640"/>
      <c r="Z18" s="640"/>
      <c r="AA18" s="640"/>
      <c r="AB18" s="647"/>
      <c r="AC18" s="132"/>
      <c r="AD18" s="157">
        <v>6.0099999999999997E-5</v>
      </c>
      <c r="AE18" s="159"/>
      <c r="AF18" s="133">
        <v>2.5299999999999999E-11</v>
      </c>
      <c r="AG18" s="157"/>
      <c r="AH18" s="133">
        <v>1.5900000000000001E-11</v>
      </c>
      <c r="AI18" s="157"/>
      <c r="AJ18" s="160"/>
      <c r="AK18" s="92" t="s">
        <v>46</v>
      </c>
    </row>
    <row r="19" spans="2:37" ht="12" x14ac:dyDescent="0.25">
      <c r="B19" s="610"/>
      <c r="C19" s="613"/>
      <c r="D19" s="610"/>
      <c r="E19" s="610"/>
      <c r="F19" s="610"/>
      <c r="G19" s="610"/>
      <c r="H19" s="641"/>
      <c r="I19" s="641"/>
      <c r="J19" s="642"/>
      <c r="K19" s="641"/>
      <c r="L19" s="132" t="s">
        <v>1244</v>
      </c>
      <c r="M19" s="133">
        <v>3.42</v>
      </c>
      <c r="N19" s="644"/>
      <c r="O19" s="132" t="s">
        <v>126</v>
      </c>
      <c r="P19" s="132">
        <v>0.1</v>
      </c>
      <c r="Q19" s="641"/>
      <c r="R19" s="641"/>
      <c r="S19" s="647"/>
      <c r="T19" s="641" t="s">
        <v>1233</v>
      </c>
      <c r="U19" s="641"/>
      <c r="V19" s="649"/>
      <c r="W19" s="649"/>
      <c r="X19" s="641"/>
      <c r="Y19" s="640"/>
      <c r="Z19" s="640"/>
      <c r="AA19" s="640"/>
      <c r="AB19" s="647"/>
      <c r="AC19" s="132"/>
      <c r="AD19" s="134">
        <v>2.7999999999999999E-6</v>
      </c>
      <c r="AE19" s="159"/>
      <c r="AF19" s="160">
        <v>1.62E-12</v>
      </c>
      <c r="AG19" s="157"/>
      <c r="AH19" s="133">
        <v>1.8399999999999998E-12</v>
      </c>
      <c r="AI19" s="157"/>
      <c r="AJ19" s="133">
        <v>13.2</v>
      </c>
      <c r="AK19" s="92" t="s">
        <v>1244</v>
      </c>
    </row>
    <row r="20" spans="2:37" ht="12" x14ac:dyDescent="0.25">
      <c r="B20" s="610"/>
      <c r="C20" s="613"/>
      <c r="D20" s="610"/>
      <c r="E20" s="610"/>
      <c r="F20" s="610"/>
      <c r="G20" s="610"/>
      <c r="H20" s="641"/>
      <c r="I20" s="641"/>
      <c r="J20" s="642"/>
      <c r="K20" s="641"/>
      <c r="L20" s="132" t="s">
        <v>33</v>
      </c>
      <c r="M20" s="133">
        <v>442</v>
      </c>
      <c r="N20" s="644"/>
      <c r="O20" s="132" t="s">
        <v>126</v>
      </c>
      <c r="P20" s="132">
        <v>120</v>
      </c>
      <c r="Q20" s="641"/>
      <c r="R20" s="641"/>
      <c r="S20" s="647"/>
      <c r="T20" s="641"/>
      <c r="U20" s="641"/>
      <c r="V20" s="649"/>
      <c r="W20" s="649"/>
      <c r="X20" s="641"/>
      <c r="Y20" s="640"/>
      <c r="Z20" s="640"/>
      <c r="AA20" s="640"/>
      <c r="AB20" s="647"/>
      <c r="AC20" s="132"/>
      <c r="AD20" s="159"/>
      <c r="AE20" s="133">
        <v>0.14499999999999999</v>
      </c>
      <c r="AF20" s="157"/>
      <c r="AG20" s="133">
        <v>6.9899999999999997E-8</v>
      </c>
      <c r="AH20" s="157"/>
      <c r="AI20" s="133">
        <v>3.6699999999999998E-8</v>
      </c>
      <c r="AJ20" s="133">
        <v>1.5E-5</v>
      </c>
      <c r="AK20" s="92" t="s">
        <v>33</v>
      </c>
    </row>
    <row r="21" spans="2:37" ht="12" x14ac:dyDescent="0.25">
      <c r="B21" s="610"/>
      <c r="C21" s="613"/>
      <c r="D21" s="610"/>
      <c r="E21" s="610"/>
      <c r="F21" s="610"/>
      <c r="G21" s="610"/>
      <c r="H21" s="641"/>
      <c r="I21" s="641"/>
      <c r="J21" s="642"/>
      <c r="K21" s="641"/>
      <c r="L21" s="132" t="s">
        <v>35</v>
      </c>
      <c r="M21" s="133">
        <v>3590</v>
      </c>
      <c r="N21" s="644"/>
      <c r="O21" s="132" t="s">
        <v>126</v>
      </c>
      <c r="P21" s="132">
        <v>150</v>
      </c>
      <c r="Q21" s="641"/>
      <c r="R21" s="641"/>
      <c r="S21" s="647"/>
      <c r="T21" s="641"/>
      <c r="U21" s="641"/>
      <c r="V21" s="649"/>
      <c r="W21" s="649"/>
      <c r="X21" s="641"/>
      <c r="Y21" s="640"/>
      <c r="Z21" s="640"/>
      <c r="AA21" s="640"/>
      <c r="AB21" s="647"/>
      <c r="AC21" s="132"/>
      <c r="AD21" s="159"/>
      <c r="AE21" s="133">
        <v>0.157</v>
      </c>
      <c r="AF21" s="157"/>
      <c r="AG21" s="133">
        <v>7.5699999999999996E-8</v>
      </c>
      <c r="AH21" s="157"/>
      <c r="AI21" s="133">
        <v>3.9799999999999999E-8</v>
      </c>
      <c r="AJ21" s="133">
        <v>1.11E-5</v>
      </c>
      <c r="AK21" s="92" t="s">
        <v>35</v>
      </c>
    </row>
    <row r="22" spans="2:37" ht="12" x14ac:dyDescent="0.25">
      <c r="B22" s="610"/>
      <c r="C22" s="613"/>
      <c r="D22" s="610"/>
      <c r="E22" s="610"/>
      <c r="F22" s="610"/>
      <c r="G22" s="610"/>
      <c r="H22" s="641"/>
      <c r="I22" s="641"/>
      <c r="J22" s="642"/>
      <c r="K22" s="641"/>
      <c r="L22" s="132" t="s">
        <v>28</v>
      </c>
      <c r="M22" s="133">
        <v>192</v>
      </c>
      <c r="N22" s="644"/>
      <c r="O22" s="132" t="s">
        <v>126</v>
      </c>
      <c r="P22" s="132">
        <v>20</v>
      </c>
      <c r="Q22" s="641"/>
      <c r="R22" s="641"/>
      <c r="S22" s="647"/>
      <c r="T22" s="641"/>
      <c r="U22" s="641"/>
      <c r="V22" s="649"/>
      <c r="W22" s="649"/>
      <c r="X22" s="641"/>
      <c r="Y22" s="640"/>
      <c r="Z22" s="640"/>
      <c r="AA22" s="640"/>
      <c r="AB22" s="647"/>
      <c r="AC22" s="132"/>
      <c r="AD22" s="157">
        <v>4.9399999999999997E-4</v>
      </c>
      <c r="AE22" s="134">
        <v>8.8699999999999992</v>
      </c>
      <c r="AF22" s="160">
        <v>6.5300000000000004E-9</v>
      </c>
      <c r="AG22" s="133">
        <v>2.8299999999999999E-4</v>
      </c>
      <c r="AH22" s="157"/>
      <c r="AI22" s="133">
        <v>1.4899999999999999E-4</v>
      </c>
      <c r="AJ22" s="133">
        <v>2.7400000000000001E-2</v>
      </c>
      <c r="AK22" s="92" t="s">
        <v>28</v>
      </c>
    </row>
    <row r="23" spans="2:37" ht="12" x14ac:dyDescent="0.25">
      <c r="B23" s="610"/>
      <c r="C23" s="613"/>
      <c r="D23" s="610"/>
      <c r="E23" s="610"/>
      <c r="F23" s="610"/>
      <c r="G23" s="610"/>
      <c r="H23" s="641"/>
      <c r="I23" s="641"/>
      <c r="J23" s="642"/>
      <c r="K23" s="641"/>
      <c r="L23" s="132" t="s">
        <v>1166</v>
      </c>
      <c r="M23" s="133">
        <v>8.15</v>
      </c>
      <c r="N23" s="644"/>
      <c r="O23" s="132" t="s">
        <v>126</v>
      </c>
      <c r="P23" s="132">
        <v>3</v>
      </c>
      <c r="Q23" s="641"/>
      <c r="R23" s="641"/>
      <c r="S23" s="648"/>
      <c r="T23" s="641"/>
      <c r="U23" s="641"/>
      <c r="V23" s="649"/>
      <c r="W23" s="649"/>
      <c r="X23" s="641"/>
      <c r="Y23" s="640"/>
      <c r="Z23" s="640"/>
      <c r="AA23" s="640"/>
      <c r="AB23" s="647"/>
      <c r="AC23" s="132"/>
      <c r="AD23" s="159"/>
      <c r="AE23" s="133">
        <v>2.1399999999999999E-2</v>
      </c>
      <c r="AF23" s="157"/>
      <c r="AG23" s="160">
        <v>9.0200000000000007E-9</v>
      </c>
      <c r="AH23" s="157"/>
      <c r="AI23" s="133">
        <v>4.7399999999999998E-9</v>
      </c>
      <c r="AJ23" s="133">
        <v>5.4200000000000003E-3</v>
      </c>
      <c r="AK23" s="92" t="s">
        <v>1166</v>
      </c>
    </row>
    <row r="24" spans="2:37" ht="12" customHeight="1" x14ac:dyDescent="0.25">
      <c r="B24" s="610"/>
      <c r="C24" s="613"/>
      <c r="D24" s="610"/>
      <c r="E24" s="610"/>
      <c r="F24" s="610"/>
      <c r="G24" s="610"/>
      <c r="H24" s="641"/>
      <c r="I24" s="641"/>
      <c r="J24" s="642"/>
      <c r="K24" s="641"/>
      <c r="L24" s="132" t="s">
        <v>29</v>
      </c>
      <c r="M24" s="133">
        <v>60</v>
      </c>
      <c r="N24" s="644"/>
      <c r="O24" s="132" t="s">
        <v>126</v>
      </c>
      <c r="P24" s="132">
        <v>2</v>
      </c>
      <c r="Q24" s="641"/>
      <c r="R24" s="641"/>
      <c r="S24" s="646" t="s">
        <v>1217</v>
      </c>
      <c r="T24" s="641"/>
      <c r="U24" s="641"/>
      <c r="V24" s="649"/>
      <c r="W24" s="649"/>
      <c r="X24" s="641"/>
      <c r="Y24" s="640"/>
      <c r="Z24" s="640"/>
      <c r="AA24" s="640"/>
      <c r="AB24" s="647"/>
      <c r="AC24" s="132"/>
      <c r="AD24" s="133">
        <v>5.38E-10</v>
      </c>
      <c r="AE24" s="134">
        <v>1.54</v>
      </c>
      <c r="AF24" s="133">
        <v>8.5400000000000005E-10</v>
      </c>
      <c r="AG24" s="160">
        <v>1.3300000000000001E-4</v>
      </c>
      <c r="AH24" s="157"/>
      <c r="AI24" s="133">
        <v>6.9800000000000003E-5</v>
      </c>
      <c r="AJ24" s="133">
        <v>7.2899999999999996E-3</v>
      </c>
      <c r="AK24" s="92" t="s">
        <v>29</v>
      </c>
    </row>
    <row r="25" spans="2:37" ht="12" x14ac:dyDescent="0.25">
      <c r="B25" s="610"/>
      <c r="C25" s="613"/>
      <c r="D25" s="610"/>
      <c r="E25" s="610"/>
      <c r="F25" s="610"/>
      <c r="G25" s="610"/>
      <c r="H25" s="641"/>
      <c r="I25" s="641"/>
      <c r="J25" s="642"/>
      <c r="K25" s="641"/>
      <c r="L25" s="132" t="s">
        <v>1167</v>
      </c>
      <c r="M25" s="133">
        <v>49.6</v>
      </c>
      <c r="N25" s="644"/>
      <c r="O25" s="132" t="s">
        <v>126</v>
      </c>
      <c r="P25" s="132">
        <v>10</v>
      </c>
      <c r="Q25" s="641"/>
      <c r="R25" s="641"/>
      <c r="S25" s="647"/>
      <c r="T25" s="641"/>
      <c r="U25" s="641"/>
      <c r="V25" s="649"/>
      <c r="W25" s="649"/>
      <c r="X25" s="641"/>
      <c r="Y25" s="640"/>
      <c r="Z25" s="640"/>
      <c r="AA25" s="640"/>
      <c r="AB25" s="647"/>
      <c r="AC25" s="132"/>
      <c r="AD25" s="159"/>
      <c r="AE25" s="157">
        <v>1.63</v>
      </c>
      <c r="AF25" s="157"/>
      <c r="AG25" s="160">
        <v>5.49E-6</v>
      </c>
      <c r="AH25" s="157"/>
      <c r="AI25" s="133">
        <v>2.88E-6</v>
      </c>
      <c r="AJ25" s="133">
        <v>7.6499999999999997E-3</v>
      </c>
      <c r="AK25" s="92" t="s">
        <v>1167</v>
      </c>
    </row>
    <row r="26" spans="2:37" ht="12" x14ac:dyDescent="0.25">
      <c r="B26" s="610"/>
      <c r="C26" s="613"/>
      <c r="D26" s="610"/>
      <c r="E26" s="610"/>
      <c r="F26" s="610"/>
      <c r="G26" s="610"/>
      <c r="H26" s="641"/>
      <c r="I26" s="641"/>
      <c r="J26" s="642"/>
      <c r="K26" s="641"/>
      <c r="L26" s="132" t="s">
        <v>882</v>
      </c>
      <c r="M26" s="133">
        <v>2.74</v>
      </c>
      <c r="N26" s="644"/>
      <c r="O26" s="132" t="s">
        <v>126</v>
      </c>
      <c r="P26" s="132">
        <v>1</v>
      </c>
      <c r="Q26" s="641"/>
      <c r="R26" s="641"/>
      <c r="S26" s="647"/>
      <c r="T26" s="641"/>
      <c r="U26" s="641"/>
      <c r="V26" s="649"/>
      <c r="W26" s="649"/>
      <c r="X26" s="641"/>
      <c r="Y26" s="640"/>
      <c r="Z26" s="640"/>
      <c r="AA26" s="640"/>
      <c r="AB26" s="647"/>
      <c r="AC26" s="132"/>
      <c r="AD26" s="159"/>
      <c r="AE26" s="157">
        <v>3.13</v>
      </c>
      <c r="AF26" s="157"/>
      <c r="AG26" s="160">
        <v>1.73E-6</v>
      </c>
      <c r="AH26" s="157"/>
      <c r="AI26" s="133">
        <v>9.0999999999999997E-7</v>
      </c>
      <c r="AJ26" s="133">
        <v>0.16300000000000001</v>
      </c>
      <c r="AK26" s="92" t="s">
        <v>882</v>
      </c>
    </row>
    <row r="27" spans="2:37" ht="12" x14ac:dyDescent="0.25">
      <c r="B27" s="610"/>
      <c r="C27" s="613"/>
      <c r="D27" s="610"/>
      <c r="E27" s="610"/>
      <c r="F27" s="610"/>
      <c r="G27" s="610"/>
      <c r="H27" s="641"/>
      <c r="I27" s="641"/>
      <c r="J27" s="642"/>
      <c r="K27" s="641"/>
      <c r="L27" s="132" t="s">
        <v>32</v>
      </c>
      <c r="M27" s="133">
        <v>1490</v>
      </c>
      <c r="N27" s="644"/>
      <c r="O27" s="132" t="s">
        <v>126</v>
      </c>
      <c r="P27" s="132">
        <v>100</v>
      </c>
      <c r="Q27" s="641"/>
      <c r="R27" s="641"/>
      <c r="S27" s="647"/>
      <c r="T27" s="641"/>
      <c r="U27" s="641"/>
      <c r="V27" s="649"/>
      <c r="W27" s="649"/>
      <c r="X27" s="641"/>
      <c r="Y27" s="640"/>
      <c r="Z27" s="640"/>
      <c r="AA27" s="640"/>
      <c r="AB27" s="647"/>
      <c r="AC27" s="132"/>
      <c r="AD27" s="134">
        <v>2.05E-5</v>
      </c>
      <c r="AE27" s="157">
        <v>5.6</v>
      </c>
      <c r="AF27" s="133">
        <v>1.41E-10</v>
      </c>
      <c r="AG27" s="157"/>
      <c r="AH27" s="133">
        <v>8.9099999999999995E-11</v>
      </c>
      <c r="AI27" s="157"/>
      <c r="AJ27" s="133">
        <v>6.1400000000000003E-2</v>
      </c>
      <c r="AK27" s="92" t="s">
        <v>32</v>
      </c>
    </row>
    <row r="28" spans="2:37" ht="12" customHeight="1" x14ac:dyDescent="0.25">
      <c r="B28" s="610"/>
      <c r="C28" s="613"/>
      <c r="D28" s="610"/>
      <c r="E28" s="610"/>
      <c r="F28" s="610"/>
      <c r="G28" s="610"/>
      <c r="H28" s="641"/>
      <c r="I28" s="641"/>
      <c r="J28" s="642"/>
      <c r="K28" s="641"/>
      <c r="L28" s="132" t="s">
        <v>823</v>
      </c>
      <c r="M28" s="133">
        <v>0.15</v>
      </c>
      <c r="N28" s="644"/>
      <c r="O28" s="132" t="s">
        <v>126</v>
      </c>
      <c r="P28" s="132"/>
      <c r="Q28" s="641"/>
      <c r="R28" s="641"/>
      <c r="S28" s="647"/>
      <c r="T28" s="641"/>
      <c r="U28" s="641"/>
      <c r="V28" s="641"/>
      <c r="W28" s="641"/>
      <c r="X28" s="641"/>
      <c r="Y28" s="650"/>
      <c r="Z28" s="650"/>
      <c r="AA28" s="650"/>
      <c r="AB28" s="647"/>
      <c r="AC28" s="132"/>
      <c r="AD28" s="133">
        <v>6.7700000000000004E-7</v>
      </c>
      <c r="AE28" s="159"/>
      <c r="AF28" s="133">
        <v>6.7600000000000005E-13</v>
      </c>
      <c r="AG28" s="157"/>
      <c r="AH28" s="133">
        <v>4.26E-13</v>
      </c>
      <c r="AI28" s="157"/>
      <c r="AJ28" s="133">
        <v>143</v>
      </c>
      <c r="AK28" s="92" t="s">
        <v>823</v>
      </c>
    </row>
    <row r="29" spans="2:37" ht="12" x14ac:dyDescent="0.25">
      <c r="B29" s="610"/>
      <c r="C29" s="613"/>
      <c r="D29" s="610"/>
      <c r="E29" s="610"/>
      <c r="F29" s="610"/>
      <c r="G29" s="610"/>
      <c r="H29" s="641"/>
      <c r="I29" s="641"/>
      <c r="J29" s="642"/>
      <c r="K29" s="641"/>
      <c r="L29" s="132" t="s">
        <v>31</v>
      </c>
      <c r="M29" s="133">
        <v>2.72</v>
      </c>
      <c r="N29" s="644"/>
      <c r="O29" s="132"/>
      <c r="P29" s="132">
        <v>1</v>
      </c>
      <c r="Q29" s="641"/>
      <c r="R29" s="641"/>
      <c r="S29" s="647"/>
      <c r="T29" s="641"/>
      <c r="U29" s="641"/>
      <c r="V29" s="641"/>
      <c r="W29" s="641"/>
      <c r="X29" s="641"/>
      <c r="Y29" s="645"/>
      <c r="Z29" s="645"/>
      <c r="AA29" s="645"/>
      <c r="AB29" s="647"/>
      <c r="AC29" s="132"/>
      <c r="AD29" s="159"/>
      <c r="AE29" s="133">
        <v>3.4799999999999998E-2</v>
      </c>
      <c r="AF29" s="157"/>
      <c r="AG29" s="133">
        <v>6.9301171832781205E-5</v>
      </c>
      <c r="AH29" s="157"/>
      <c r="AI29" s="133">
        <v>0.27800000000000002</v>
      </c>
      <c r="AJ29" s="160"/>
      <c r="AK29" s="92" t="s">
        <v>31</v>
      </c>
    </row>
    <row r="30" spans="2:37" ht="12" x14ac:dyDescent="0.25">
      <c r="B30" s="610"/>
      <c r="C30" s="613"/>
      <c r="D30" s="610"/>
      <c r="E30" s="610"/>
      <c r="F30" s="610"/>
      <c r="G30" s="610"/>
      <c r="H30" s="641"/>
      <c r="I30" s="641"/>
      <c r="J30" s="642"/>
      <c r="K30" s="641"/>
      <c r="L30" s="132" t="s">
        <v>1219</v>
      </c>
      <c r="M30" s="133">
        <v>2.72</v>
      </c>
      <c r="N30" s="644"/>
      <c r="O30" s="132"/>
      <c r="P30" s="132"/>
      <c r="Q30" s="641"/>
      <c r="R30" s="641"/>
      <c r="S30" s="647"/>
      <c r="T30" s="641"/>
      <c r="U30" s="641"/>
      <c r="V30" s="649"/>
      <c r="W30" s="649"/>
      <c r="X30" s="651"/>
      <c r="Y30" s="652"/>
      <c r="Z30" s="652"/>
      <c r="AA30" s="653"/>
      <c r="AB30" s="647"/>
      <c r="AC30" s="132"/>
      <c r="AD30" s="159"/>
      <c r="AE30" s="133">
        <v>0.35699999999999998</v>
      </c>
      <c r="AF30" s="157"/>
      <c r="AG30" s="133">
        <v>7.2539832364253102E-5</v>
      </c>
      <c r="AH30" s="157"/>
      <c r="AI30" s="157"/>
      <c r="AJ30" s="160"/>
      <c r="AK30" s="92" t="s">
        <v>1219</v>
      </c>
    </row>
    <row r="31" spans="2:37" ht="12" customHeight="1" x14ac:dyDescent="0.25">
      <c r="B31" s="610"/>
      <c r="C31" s="613"/>
      <c r="D31" s="610"/>
      <c r="E31" s="610"/>
      <c r="F31" s="610"/>
      <c r="G31" s="610"/>
      <c r="H31" s="641"/>
      <c r="I31" s="641"/>
      <c r="J31" s="642"/>
      <c r="K31" s="641"/>
      <c r="L31" s="132" t="s">
        <v>1218</v>
      </c>
      <c r="M31" s="133"/>
      <c r="N31" s="645"/>
      <c r="O31" s="132" t="s">
        <v>126</v>
      </c>
      <c r="P31" s="132"/>
      <c r="Q31" s="641"/>
      <c r="R31" s="641"/>
      <c r="S31" s="648"/>
      <c r="T31" s="641"/>
      <c r="U31" s="641"/>
      <c r="V31" s="649"/>
      <c r="W31" s="649"/>
      <c r="X31" s="654"/>
      <c r="Y31" s="655"/>
      <c r="Z31" s="655"/>
      <c r="AA31" s="656"/>
      <c r="AB31" s="648"/>
      <c r="AC31" s="132"/>
      <c r="AD31" s="159"/>
      <c r="AE31" s="134">
        <v>0.39200000000000002</v>
      </c>
      <c r="AF31" s="157"/>
      <c r="AG31" s="157">
        <v>7.5778492895724905E-5</v>
      </c>
      <c r="AH31" s="157"/>
      <c r="AI31" s="133">
        <v>0.27800000000000002</v>
      </c>
      <c r="AJ31" s="160"/>
    </row>
    <row r="32" spans="2:37" ht="15" customHeight="1" x14ac:dyDescent="0.25">
      <c r="B32" s="610"/>
      <c r="C32" s="613"/>
      <c r="D32" s="610"/>
      <c r="E32" s="610"/>
      <c r="F32" s="610"/>
      <c r="G32" s="610"/>
      <c r="H32" s="633" t="s">
        <v>1164</v>
      </c>
      <c r="I32" s="633"/>
      <c r="J32" s="634"/>
      <c r="K32" s="620" t="s">
        <v>1207</v>
      </c>
      <c r="L32" s="136" t="s">
        <v>60</v>
      </c>
      <c r="M32" s="137">
        <v>206</v>
      </c>
      <c r="N32" s="637">
        <v>44440</v>
      </c>
      <c r="O32" s="136" t="s">
        <v>126</v>
      </c>
      <c r="P32" s="136"/>
      <c r="Q32" s="620"/>
      <c r="R32" s="620" t="s">
        <v>1176</v>
      </c>
      <c r="S32" s="620" t="s">
        <v>1216</v>
      </c>
      <c r="T32" s="136"/>
      <c r="U32" s="136"/>
      <c r="V32" s="136"/>
      <c r="W32" s="136"/>
      <c r="X32" s="136"/>
      <c r="Y32" s="136"/>
      <c r="Z32" s="136"/>
      <c r="AA32" s="136"/>
      <c r="AB32" s="620" t="s">
        <v>1174</v>
      </c>
      <c r="AC32" s="136"/>
      <c r="AD32" s="145"/>
      <c r="AE32" s="146"/>
      <c r="AF32" s="102"/>
      <c r="AG32" s="102"/>
      <c r="AH32" s="102"/>
      <c r="AI32" s="102"/>
      <c r="AJ32" s="137">
        <v>2.2399999999999998E-3</v>
      </c>
    </row>
    <row r="33" spans="2:36" ht="11.4" x14ac:dyDescent="0.2">
      <c r="B33" s="610"/>
      <c r="C33" s="613"/>
      <c r="D33" s="610"/>
      <c r="E33" s="610"/>
      <c r="F33" s="610"/>
      <c r="G33" s="610"/>
      <c r="H33" s="633"/>
      <c r="I33" s="633"/>
      <c r="J33" s="635"/>
      <c r="K33" s="621"/>
      <c r="L33" s="136" t="s">
        <v>61</v>
      </c>
      <c r="M33" s="137">
        <v>24.9</v>
      </c>
      <c r="N33" s="638"/>
      <c r="O33" s="136" t="s">
        <v>126</v>
      </c>
      <c r="P33" s="136"/>
      <c r="Q33" s="621"/>
      <c r="R33" s="621"/>
      <c r="S33" s="621"/>
      <c r="T33" s="136"/>
      <c r="U33" s="136"/>
      <c r="V33" s="136"/>
      <c r="W33" s="136"/>
      <c r="X33" s="136"/>
      <c r="Y33" s="136"/>
      <c r="Z33" s="136"/>
      <c r="AA33" s="136"/>
      <c r="AB33" s="621"/>
      <c r="AC33" s="136"/>
      <c r="AD33" s="139"/>
      <c r="AE33" s="137"/>
      <c r="AF33" s="102"/>
      <c r="AG33" s="102"/>
      <c r="AH33" s="102"/>
      <c r="AI33" s="102"/>
      <c r="AJ33" s="137">
        <v>19.399999999999999</v>
      </c>
    </row>
    <row r="34" spans="2:36" ht="12" customHeight="1" x14ac:dyDescent="0.25">
      <c r="B34" s="610"/>
      <c r="C34" s="613"/>
      <c r="D34" s="610"/>
      <c r="E34" s="610"/>
      <c r="F34" s="610"/>
      <c r="G34" s="610"/>
      <c r="H34" s="633"/>
      <c r="I34" s="633"/>
      <c r="J34" s="635"/>
      <c r="K34" s="621"/>
      <c r="L34" s="136" t="s">
        <v>37</v>
      </c>
      <c r="M34" s="137">
        <v>1.95</v>
      </c>
      <c r="N34" s="638"/>
      <c r="O34" s="136" t="s">
        <v>126</v>
      </c>
      <c r="P34" s="136">
        <v>0.5</v>
      </c>
      <c r="Q34" s="621"/>
      <c r="R34" s="621"/>
      <c r="S34" s="621"/>
      <c r="T34" s="136"/>
      <c r="U34" s="136"/>
      <c r="V34" s="136"/>
      <c r="W34" s="136"/>
      <c r="X34" s="136"/>
      <c r="Y34" s="136"/>
      <c r="Z34" s="136"/>
      <c r="AA34" s="136"/>
      <c r="AB34" s="621"/>
      <c r="AC34" s="136"/>
      <c r="AD34" s="138"/>
      <c r="AE34" s="139"/>
      <c r="AF34" s="102"/>
      <c r="AG34" s="102"/>
      <c r="AH34" s="102"/>
      <c r="AI34" s="102"/>
      <c r="AJ34" s="137">
        <v>167</v>
      </c>
    </row>
    <row r="35" spans="2:36" ht="12" x14ac:dyDescent="0.25">
      <c r="B35" s="610"/>
      <c r="C35" s="613"/>
      <c r="D35" s="610"/>
      <c r="E35" s="610"/>
      <c r="F35" s="610"/>
      <c r="G35" s="610"/>
      <c r="H35" s="633"/>
      <c r="I35" s="633"/>
      <c r="J35" s="635"/>
      <c r="K35" s="621"/>
      <c r="L35" s="136" t="s">
        <v>40</v>
      </c>
      <c r="M35" s="137">
        <v>1.38</v>
      </c>
      <c r="N35" s="638"/>
      <c r="O35" s="136" t="s">
        <v>126</v>
      </c>
      <c r="P35" s="136">
        <v>0.1</v>
      </c>
      <c r="Q35" s="621"/>
      <c r="R35" s="621"/>
      <c r="S35" s="621"/>
      <c r="T35" s="136"/>
      <c r="U35" s="136"/>
      <c r="V35" s="136"/>
      <c r="W35" s="136"/>
      <c r="X35" s="136"/>
      <c r="Y35" s="136"/>
      <c r="Z35" s="136"/>
      <c r="AA35" s="136"/>
      <c r="AB35" s="621"/>
      <c r="AC35" s="136"/>
      <c r="AD35" s="138"/>
      <c r="AE35" s="139"/>
      <c r="AF35" s="102"/>
      <c r="AG35" s="102"/>
      <c r="AH35" s="102"/>
      <c r="AI35" s="102"/>
      <c r="AJ35" s="137">
        <v>357</v>
      </c>
    </row>
    <row r="36" spans="2:36" ht="11.4" customHeight="1" x14ac:dyDescent="0.2">
      <c r="B36" s="610"/>
      <c r="C36" s="613"/>
      <c r="D36" s="610"/>
      <c r="E36" s="610"/>
      <c r="F36" s="610"/>
      <c r="G36" s="610"/>
      <c r="H36" s="633"/>
      <c r="I36" s="633"/>
      <c r="J36" s="635"/>
      <c r="K36" s="621"/>
      <c r="L36" s="136" t="s">
        <v>63</v>
      </c>
      <c r="M36" s="137">
        <v>1.978</v>
      </c>
      <c r="N36" s="638"/>
      <c r="O36" s="136" t="s">
        <v>126</v>
      </c>
      <c r="P36" s="136">
        <v>0.5</v>
      </c>
      <c r="Q36" s="621"/>
      <c r="R36" s="621"/>
      <c r="S36" s="621"/>
      <c r="T36" s="136"/>
      <c r="U36" s="136"/>
      <c r="V36" s="136"/>
      <c r="W36" s="136"/>
      <c r="X36" s="136"/>
      <c r="Y36" s="136"/>
      <c r="Z36" s="136"/>
      <c r="AA36" s="136"/>
      <c r="AB36" s="621"/>
      <c r="AC36" s="136"/>
      <c r="AD36" s="137"/>
      <c r="AE36" s="139"/>
      <c r="AF36" s="102"/>
      <c r="AG36" s="102"/>
      <c r="AH36" s="102"/>
      <c r="AI36" s="102"/>
      <c r="AJ36" s="137">
        <v>50.2</v>
      </c>
    </row>
    <row r="37" spans="2:36" ht="12" customHeight="1" x14ac:dyDescent="0.25">
      <c r="B37" s="610"/>
      <c r="C37" s="613"/>
      <c r="D37" s="610"/>
      <c r="E37" s="610"/>
      <c r="F37" s="610"/>
      <c r="G37" s="610"/>
      <c r="H37" s="633"/>
      <c r="I37" s="633"/>
      <c r="J37" s="635"/>
      <c r="K37" s="621"/>
      <c r="L37" s="136" t="s">
        <v>39</v>
      </c>
      <c r="M37" s="137">
        <v>1.48</v>
      </c>
      <c r="N37" s="638"/>
      <c r="O37" s="136" t="s">
        <v>126</v>
      </c>
      <c r="P37" s="162">
        <v>0.5</v>
      </c>
      <c r="Q37" s="621"/>
      <c r="R37" s="621"/>
      <c r="S37" s="621"/>
      <c r="T37" s="136"/>
      <c r="U37" s="136"/>
      <c r="V37" s="136"/>
      <c r="W37" s="136"/>
      <c r="X37" s="136"/>
      <c r="Y37" s="136"/>
      <c r="Z37" s="136"/>
      <c r="AA37" s="136"/>
      <c r="AB37" s="621"/>
      <c r="AC37" s="136"/>
      <c r="AD37" s="138"/>
      <c r="AE37" s="137"/>
      <c r="AF37" s="102"/>
      <c r="AG37" s="102"/>
      <c r="AH37" s="102"/>
      <c r="AI37" s="102"/>
      <c r="AJ37" s="137">
        <v>76.599999999999994</v>
      </c>
    </row>
    <row r="38" spans="2:36" ht="12" customHeight="1" x14ac:dyDescent="0.25">
      <c r="B38" s="610"/>
      <c r="C38" s="613"/>
      <c r="D38" s="610"/>
      <c r="E38" s="610"/>
      <c r="F38" s="610"/>
      <c r="G38" s="610"/>
      <c r="H38" s="633"/>
      <c r="I38" s="633"/>
      <c r="J38" s="635"/>
      <c r="K38" s="621"/>
      <c r="L38" s="136" t="s">
        <v>43</v>
      </c>
      <c r="M38" s="137">
        <v>0.92800000000000005</v>
      </c>
      <c r="N38" s="638"/>
      <c r="O38" s="136" t="s">
        <v>126</v>
      </c>
      <c r="P38" s="162">
        <v>0.1</v>
      </c>
      <c r="Q38" s="621"/>
      <c r="R38" s="621"/>
      <c r="S38" s="621"/>
      <c r="T38" s="136"/>
      <c r="U38" s="136"/>
      <c r="V38" s="136"/>
      <c r="W38" s="136"/>
      <c r="X38" s="136"/>
      <c r="Y38" s="136"/>
      <c r="Z38" s="136"/>
      <c r="AA38" s="136"/>
      <c r="AB38" s="621"/>
      <c r="AC38" s="136"/>
      <c r="AD38" s="138"/>
      <c r="AE38" s="139"/>
      <c r="AF38" s="102"/>
      <c r="AG38" s="102"/>
      <c r="AH38" s="102"/>
      <c r="AI38" s="102"/>
      <c r="AJ38" s="137">
        <v>89.3</v>
      </c>
    </row>
    <row r="39" spans="2:36" ht="12" customHeight="1" x14ac:dyDescent="0.25">
      <c r="B39" s="610"/>
      <c r="C39" s="613"/>
      <c r="D39" s="610"/>
      <c r="E39" s="610"/>
      <c r="F39" s="610"/>
      <c r="G39" s="610"/>
      <c r="H39" s="633"/>
      <c r="I39" s="633"/>
      <c r="J39" s="635"/>
      <c r="K39" s="621"/>
      <c r="L39" s="136" t="s">
        <v>44</v>
      </c>
      <c r="M39" s="137">
        <v>0.95</v>
      </c>
      <c r="N39" s="638"/>
      <c r="O39" s="136" t="s">
        <v>126</v>
      </c>
      <c r="P39" s="162">
        <v>0.1</v>
      </c>
      <c r="Q39" s="621"/>
      <c r="R39" s="621"/>
      <c r="S39" s="621"/>
      <c r="T39" s="136"/>
      <c r="U39" s="136"/>
      <c r="V39" s="136"/>
      <c r="W39" s="136"/>
      <c r="X39" s="136"/>
      <c r="Y39" s="136"/>
      <c r="Z39" s="136"/>
      <c r="AA39" s="136"/>
      <c r="AB39" s="621"/>
      <c r="AC39" s="136"/>
      <c r="AD39" s="138"/>
      <c r="AE39" s="139"/>
      <c r="AF39" s="102"/>
      <c r="AG39" s="102"/>
      <c r="AH39" s="102"/>
      <c r="AI39" s="102"/>
      <c r="AJ39" s="163"/>
    </row>
    <row r="40" spans="2:36" ht="11.4" customHeight="1" x14ac:dyDescent="0.2">
      <c r="B40" s="610"/>
      <c r="C40" s="613"/>
      <c r="D40" s="610"/>
      <c r="E40" s="610"/>
      <c r="F40" s="610"/>
      <c r="G40" s="610"/>
      <c r="H40" s="633"/>
      <c r="I40" s="633"/>
      <c r="J40" s="635"/>
      <c r="K40" s="621"/>
      <c r="L40" s="136" t="s">
        <v>42</v>
      </c>
      <c r="M40" s="137">
        <v>0.7</v>
      </c>
      <c r="N40" s="638"/>
      <c r="O40" s="136" t="s">
        <v>126</v>
      </c>
      <c r="P40" s="162">
        <v>0.1</v>
      </c>
      <c r="Q40" s="621"/>
      <c r="R40" s="621"/>
      <c r="S40" s="621"/>
      <c r="T40" s="136"/>
      <c r="U40" s="136"/>
      <c r="V40" s="136"/>
      <c r="W40" s="136"/>
      <c r="X40" s="136"/>
      <c r="Y40" s="136"/>
      <c r="Z40" s="136"/>
      <c r="AA40" s="136"/>
      <c r="AB40" s="621"/>
      <c r="AC40" s="136"/>
      <c r="AD40" s="139"/>
      <c r="AE40" s="137"/>
      <c r="AF40" s="102"/>
      <c r="AG40" s="102"/>
      <c r="AH40" s="102"/>
      <c r="AI40" s="102"/>
      <c r="AJ40" s="137">
        <v>55.7</v>
      </c>
    </row>
    <row r="41" spans="2:36" ht="11.4" customHeight="1" x14ac:dyDescent="0.2">
      <c r="B41" s="610"/>
      <c r="C41" s="613"/>
      <c r="D41" s="610"/>
      <c r="E41" s="610"/>
      <c r="F41" s="610"/>
      <c r="G41" s="610"/>
      <c r="H41" s="633"/>
      <c r="I41" s="633"/>
      <c r="J41" s="635"/>
      <c r="K41" s="621"/>
      <c r="L41" s="136" t="s">
        <v>1244</v>
      </c>
      <c r="M41" s="137">
        <v>1.2749999999999999</v>
      </c>
      <c r="N41" s="638"/>
      <c r="O41" s="136" t="s">
        <v>126</v>
      </c>
      <c r="P41" s="136">
        <v>0.1</v>
      </c>
      <c r="Q41" s="621"/>
      <c r="R41" s="621"/>
      <c r="S41" s="621"/>
      <c r="T41" s="136"/>
      <c r="U41" s="136"/>
      <c r="V41" s="136"/>
      <c r="W41" s="136"/>
      <c r="X41" s="136"/>
      <c r="Y41" s="136"/>
      <c r="Z41" s="136"/>
      <c r="AA41" s="136"/>
      <c r="AB41" s="621"/>
      <c r="AC41" s="136"/>
      <c r="AD41" s="139"/>
      <c r="AE41" s="137"/>
      <c r="AF41" s="102"/>
      <c r="AG41" s="102"/>
      <c r="AH41" s="102"/>
      <c r="AI41" s="102"/>
      <c r="AJ41" s="137">
        <v>9.94</v>
      </c>
    </row>
    <row r="42" spans="2:36" ht="12" customHeight="1" x14ac:dyDescent="0.25">
      <c r="B42" s="610"/>
      <c r="C42" s="613"/>
      <c r="D42" s="610"/>
      <c r="E42" s="610"/>
      <c r="F42" s="610"/>
      <c r="G42" s="610"/>
      <c r="H42" s="633"/>
      <c r="I42" s="633"/>
      <c r="J42" s="635"/>
      <c r="K42" s="621"/>
      <c r="L42" s="136" t="s">
        <v>34</v>
      </c>
      <c r="M42" s="137">
        <v>137.63</v>
      </c>
      <c r="N42" s="638"/>
      <c r="O42" s="136" t="s">
        <v>126</v>
      </c>
      <c r="P42" s="136">
        <v>90</v>
      </c>
      <c r="Q42" s="621"/>
      <c r="R42" s="621"/>
      <c r="S42" s="621"/>
      <c r="T42" s="136"/>
      <c r="U42" s="136"/>
      <c r="V42" s="136"/>
      <c r="W42" s="136"/>
      <c r="X42" s="136"/>
      <c r="Y42" s="136"/>
      <c r="Z42" s="136"/>
      <c r="AA42" s="136"/>
      <c r="AB42" s="621"/>
      <c r="AC42" s="136"/>
      <c r="AD42" s="138"/>
      <c r="AE42" s="139"/>
      <c r="AF42" s="102"/>
      <c r="AG42" s="102"/>
      <c r="AH42" s="102"/>
      <c r="AI42" s="102"/>
      <c r="AJ42" s="163"/>
    </row>
    <row r="43" spans="2:36" ht="12" customHeight="1" x14ac:dyDescent="0.25">
      <c r="B43" s="610"/>
      <c r="C43" s="613"/>
      <c r="D43" s="610"/>
      <c r="E43" s="610"/>
      <c r="F43" s="610"/>
      <c r="G43" s="610"/>
      <c r="H43" s="633"/>
      <c r="I43" s="633"/>
      <c r="J43" s="635"/>
      <c r="K43" s="621"/>
      <c r="L43" s="136" t="s">
        <v>33</v>
      </c>
      <c r="M43" s="137">
        <v>442</v>
      </c>
      <c r="N43" s="638"/>
      <c r="O43" s="136" t="s">
        <v>126</v>
      </c>
      <c r="P43" s="136">
        <v>120</v>
      </c>
      <c r="Q43" s="621"/>
      <c r="R43" s="621"/>
      <c r="S43" s="164"/>
      <c r="T43" s="136"/>
      <c r="U43" s="136"/>
      <c r="V43" s="136"/>
      <c r="W43" s="136"/>
      <c r="X43" s="136"/>
      <c r="Y43" s="136"/>
      <c r="Z43" s="136"/>
      <c r="AA43" s="136"/>
      <c r="AB43" s="621"/>
      <c r="AC43" s="136"/>
      <c r="AD43" s="138"/>
      <c r="AE43" s="139"/>
      <c r="AF43" s="102"/>
      <c r="AG43" s="102"/>
      <c r="AH43" s="102"/>
      <c r="AI43" s="102"/>
      <c r="AJ43" s="137">
        <v>4.35E-4</v>
      </c>
    </row>
    <row r="44" spans="2:36" ht="12" customHeight="1" x14ac:dyDescent="0.25">
      <c r="B44" s="610"/>
      <c r="C44" s="613"/>
      <c r="D44" s="610"/>
      <c r="E44" s="610"/>
      <c r="F44" s="610"/>
      <c r="G44" s="610"/>
      <c r="H44" s="633"/>
      <c r="I44" s="633"/>
      <c r="J44" s="635"/>
      <c r="K44" s="621"/>
      <c r="L44" s="136" t="s">
        <v>35</v>
      </c>
      <c r="M44" s="137">
        <v>1620</v>
      </c>
      <c r="N44" s="638"/>
      <c r="O44" s="136" t="s">
        <v>126</v>
      </c>
      <c r="P44" s="136">
        <v>150</v>
      </c>
      <c r="Q44" s="621"/>
      <c r="R44" s="621"/>
      <c r="S44" s="621" t="s">
        <v>1217</v>
      </c>
      <c r="T44" s="136"/>
      <c r="U44" s="136"/>
      <c r="V44" s="136"/>
      <c r="W44" s="136"/>
      <c r="X44" s="136"/>
      <c r="Y44" s="136"/>
      <c r="Z44" s="136"/>
      <c r="AA44" s="136"/>
      <c r="AB44" s="621"/>
      <c r="AC44" s="136"/>
      <c r="AD44" s="138"/>
      <c r="AE44" s="139"/>
      <c r="AF44" s="102"/>
      <c r="AG44" s="102"/>
      <c r="AH44" s="102"/>
      <c r="AI44" s="102"/>
      <c r="AJ44" s="137">
        <v>1.8100000000000001E-4</v>
      </c>
    </row>
    <row r="45" spans="2:36" ht="12" customHeight="1" x14ac:dyDescent="0.25">
      <c r="B45" s="610"/>
      <c r="C45" s="613"/>
      <c r="D45" s="610"/>
      <c r="E45" s="610"/>
      <c r="F45" s="610"/>
      <c r="G45" s="610"/>
      <c r="H45" s="633"/>
      <c r="I45" s="633"/>
      <c r="J45" s="635"/>
      <c r="K45" s="621"/>
      <c r="L45" s="136" t="s">
        <v>28</v>
      </c>
      <c r="M45" s="137">
        <v>192</v>
      </c>
      <c r="N45" s="638"/>
      <c r="O45" s="136" t="s">
        <v>126</v>
      </c>
      <c r="P45" s="136">
        <v>20</v>
      </c>
      <c r="Q45" s="621"/>
      <c r="R45" s="621"/>
      <c r="S45" s="621"/>
      <c r="T45" s="136"/>
      <c r="U45" s="136"/>
      <c r="V45" s="136"/>
      <c r="W45" s="136"/>
      <c r="X45" s="136"/>
      <c r="Y45" s="136"/>
      <c r="Z45" s="136"/>
      <c r="AA45" s="136"/>
      <c r="AB45" s="621"/>
      <c r="AC45" s="136"/>
      <c r="AD45" s="138"/>
      <c r="AE45" s="139"/>
      <c r="AF45" s="102"/>
      <c r="AG45" s="102"/>
      <c r="AH45" s="102"/>
      <c r="AI45" s="102"/>
      <c r="AJ45" s="137">
        <v>5.5500000000000001E-2</v>
      </c>
    </row>
    <row r="46" spans="2:36" ht="12" customHeight="1" x14ac:dyDescent="0.25">
      <c r="B46" s="610"/>
      <c r="C46" s="613"/>
      <c r="D46" s="610"/>
      <c r="E46" s="610"/>
      <c r="F46" s="610"/>
      <c r="G46" s="610"/>
      <c r="H46" s="633"/>
      <c r="I46" s="633"/>
      <c r="J46" s="635"/>
      <c r="K46" s="621"/>
      <c r="L46" s="136" t="s">
        <v>1166</v>
      </c>
      <c r="M46" s="137">
        <v>8.15</v>
      </c>
      <c r="N46" s="638"/>
      <c r="O46" s="136" t="s">
        <v>126</v>
      </c>
      <c r="P46" s="136">
        <v>3</v>
      </c>
      <c r="Q46" s="621"/>
      <c r="R46" s="621"/>
      <c r="S46" s="621"/>
      <c r="T46" s="136"/>
      <c r="U46" s="136"/>
      <c r="V46" s="136"/>
      <c r="W46" s="136"/>
      <c r="X46" s="136"/>
      <c r="Y46" s="136"/>
      <c r="Z46" s="136"/>
      <c r="AA46" s="136"/>
      <c r="AB46" s="621"/>
      <c r="AC46" s="136"/>
      <c r="AD46" s="138"/>
      <c r="AE46" s="137"/>
      <c r="AF46" s="102"/>
      <c r="AG46" s="102"/>
      <c r="AH46" s="102"/>
      <c r="AI46" s="102"/>
      <c r="AJ46" s="137">
        <v>1.0999999999999999E-2</v>
      </c>
    </row>
    <row r="47" spans="2:36" ht="11.4" customHeight="1" x14ac:dyDescent="0.2">
      <c r="B47" s="610"/>
      <c r="C47" s="613"/>
      <c r="D47" s="610"/>
      <c r="E47" s="610"/>
      <c r="F47" s="610"/>
      <c r="G47" s="610"/>
      <c r="H47" s="633"/>
      <c r="I47" s="633"/>
      <c r="J47" s="635"/>
      <c r="K47" s="621"/>
      <c r="L47" s="136" t="s">
        <v>29</v>
      </c>
      <c r="M47" s="137">
        <v>51.4</v>
      </c>
      <c r="N47" s="638"/>
      <c r="O47" s="136" t="s">
        <v>126</v>
      </c>
      <c r="P47" s="136">
        <v>2</v>
      </c>
      <c r="Q47" s="621"/>
      <c r="R47" s="621"/>
      <c r="S47" s="621"/>
      <c r="T47" s="136"/>
      <c r="U47" s="136"/>
      <c r="V47" s="136"/>
      <c r="W47" s="136"/>
      <c r="X47" s="136"/>
      <c r="Y47" s="136"/>
      <c r="Z47" s="136"/>
      <c r="AA47" s="136"/>
      <c r="AB47" s="621"/>
      <c r="AC47" s="136"/>
      <c r="AD47" s="139"/>
      <c r="AE47" s="137"/>
      <c r="AF47" s="102"/>
      <c r="AG47" s="102"/>
      <c r="AH47" s="102"/>
      <c r="AI47" s="102"/>
      <c r="AJ47" s="137">
        <v>0.37</v>
      </c>
    </row>
    <row r="48" spans="2:36" ht="11.4" customHeight="1" x14ac:dyDescent="0.2">
      <c r="B48" s="610"/>
      <c r="C48" s="613"/>
      <c r="D48" s="610"/>
      <c r="E48" s="610"/>
      <c r="F48" s="610"/>
      <c r="G48" s="610"/>
      <c r="H48" s="633"/>
      <c r="I48" s="633"/>
      <c r="J48" s="635"/>
      <c r="K48" s="621"/>
      <c r="L48" s="136" t="s">
        <v>1167</v>
      </c>
      <c r="M48" s="137">
        <v>49.6</v>
      </c>
      <c r="N48" s="638"/>
      <c r="O48" s="136" t="s">
        <v>126</v>
      </c>
      <c r="P48" s="136">
        <v>10</v>
      </c>
      <c r="Q48" s="621"/>
      <c r="R48" s="621"/>
      <c r="S48" s="621"/>
      <c r="T48" s="136"/>
      <c r="U48" s="136"/>
      <c r="V48" s="136"/>
      <c r="W48" s="136"/>
      <c r="X48" s="136"/>
      <c r="Y48" s="136"/>
      <c r="Z48" s="136"/>
      <c r="AA48" s="136"/>
      <c r="AB48" s="621"/>
      <c r="AC48" s="136"/>
      <c r="AD48" s="139"/>
      <c r="AE48" s="137"/>
      <c r="AF48" s="102"/>
      <c r="AG48" s="102"/>
      <c r="AH48" s="102"/>
      <c r="AI48" s="102"/>
      <c r="AJ48" s="137">
        <v>4.0599999999999996</v>
      </c>
    </row>
    <row r="49" spans="2:36" ht="11.4" customHeight="1" x14ac:dyDescent="0.2">
      <c r="B49" s="610"/>
      <c r="C49" s="613"/>
      <c r="D49" s="610"/>
      <c r="E49" s="610"/>
      <c r="F49" s="610"/>
      <c r="G49" s="610"/>
      <c r="H49" s="633"/>
      <c r="I49" s="633"/>
      <c r="J49" s="635"/>
      <c r="K49" s="621"/>
      <c r="L49" s="136" t="s">
        <v>882</v>
      </c>
      <c r="M49" s="137">
        <v>1.91</v>
      </c>
      <c r="N49" s="638"/>
      <c r="O49" s="136" t="s">
        <v>126</v>
      </c>
      <c r="P49" s="136">
        <v>1</v>
      </c>
      <c r="Q49" s="621"/>
      <c r="R49" s="621"/>
      <c r="S49" s="621"/>
      <c r="T49" s="136"/>
      <c r="U49" s="136"/>
      <c r="V49" s="136"/>
      <c r="W49" s="136"/>
      <c r="X49" s="136"/>
      <c r="Y49" s="136"/>
      <c r="Z49" s="136"/>
      <c r="AA49" s="136"/>
      <c r="AB49" s="621"/>
      <c r="AC49" s="136"/>
      <c r="AD49" s="139"/>
      <c r="AE49" s="137"/>
      <c r="AF49" s="102"/>
      <c r="AG49" s="102"/>
      <c r="AH49" s="102"/>
      <c r="AI49" s="102"/>
      <c r="AJ49" s="137">
        <v>3.3000000000000002E-2</v>
      </c>
    </row>
    <row r="50" spans="2:36" ht="11.4" customHeight="1" x14ac:dyDescent="0.2">
      <c r="B50" s="610"/>
      <c r="C50" s="613"/>
      <c r="D50" s="610"/>
      <c r="E50" s="610"/>
      <c r="F50" s="610"/>
      <c r="G50" s="610"/>
      <c r="H50" s="633"/>
      <c r="I50" s="633"/>
      <c r="J50" s="635"/>
      <c r="K50" s="621"/>
      <c r="L50" s="140" t="s">
        <v>32</v>
      </c>
      <c r="M50" s="141">
        <v>880</v>
      </c>
      <c r="N50" s="638"/>
      <c r="O50" s="136" t="s">
        <v>126</v>
      </c>
      <c r="P50" s="162">
        <v>100</v>
      </c>
      <c r="Q50" s="621"/>
      <c r="R50" s="621"/>
      <c r="S50" s="621"/>
      <c r="T50" s="136"/>
      <c r="U50" s="136"/>
      <c r="V50" s="136"/>
      <c r="W50" s="136"/>
      <c r="X50" s="136"/>
      <c r="Y50" s="136"/>
      <c r="Z50" s="136"/>
      <c r="AA50" s="136"/>
      <c r="AB50" s="621"/>
      <c r="AC50" s="136"/>
      <c r="AD50" s="139"/>
      <c r="AE50" s="137"/>
      <c r="AF50" s="102"/>
      <c r="AG50" s="102"/>
      <c r="AH50" s="102"/>
      <c r="AI50" s="102"/>
      <c r="AJ50" s="137">
        <v>1.22</v>
      </c>
    </row>
    <row r="51" spans="2:36" ht="18.600000000000001" customHeight="1" x14ac:dyDescent="0.25">
      <c r="B51" s="610"/>
      <c r="C51" s="613"/>
      <c r="D51" s="610"/>
      <c r="E51" s="610"/>
      <c r="F51" s="610"/>
      <c r="G51" s="610"/>
      <c r="H51" s="633"/>
      <c r="I51" s="633"/>
      <c r="J51" s="635"/>
      <c r="K51" s="621"/>
      <c r="L51" s="140" t="s">
        <v>31</v>
      </c>
      <c r="M51" s="141">
        <v>2.72</v>
      </c>
      <c r="N51" s="638"/>
      <c r="O51" s="136"/>
      <c r="P51" s="162">
        <v>1</v>
      </c>
      <c r="Q51" s="621"/>
      <c r="R51" s="621"/>
      <c r="S51" s="621"/>
      <c r="T51" s="136"/>
      <c r="U51" s="136"/>
      <c r="V51" s="136"/>
      <c r="W51" s="136"/>
      <c r="X51" s="136"/>
      <c r="Y51" s="136"/>
      <c r="Z51" s="136"/>
      <c r="AA51" s="136"/>
      <c r="AB51" s="621"/>
      <c r="AC51" s="136"/>
      <c r="AD51" s="165"/>
      <c r="AE51" s="137">
        <v>1.4999999999999999E-2</v>
      </c>
      <c r="AF51" s="165"/>
      <c r="AG51" s="137">
        <v>2.86E-2</v>
      </c>
      <c r="AH51" s="165"/>
      <c r="AI51" s="137">
        <v>0.12</v>
      </c>
      <c r="AJ51" s="163"/>
    </row>
    <row r="52" spans="2:36" ht="19.95" customHeight="1" x14ac:dyDescent="0.2">
      <c r="B52" s="610"/>
      <c r="C52" s="613"/>
      <c r="D52" s="610"/>
      <c r="E52" s="610"/>
      <c r="F52" s="610"/>
      <c r="G52" s="610"/>
      <c r="H52" s="633"/>
      <c r="I52" s="633"/>
      <c r="J52" s="636"/>
      <c r="K52" s="622"/>
      <c r="L52" s="136" t="s">
        <v>1245</v>
      </c>
      <c r="M52" s="136">
        <v>2.72</v>
      </c>
      <c r="N52" s="639"/>
      <c r="O52" s="136" t="s">
        <v>126</v>
      </c>
      <c r="P52" s="162"/>
      <c r="Q52" s="622"/>
      <c r="R52" s="622"/>
      <c r="S52" s="622"/>
      <c r="T52" s="136"/>
      <c r="U52" s="136"/>
      <c r="V52" s="136"/>
      <c r="W52" s="136"/>
      <c r="X52" s="136"/>
      <c r="Y52" s="136"/>
      <c r="Z52" s="136"/>
      <c r="AA52" s="136"/>
      <c r="AB52" s="622"/>
      <c r="AC52" s="136"/>
      <c r="AD52" s="102"/>
      <c r="AE52" s="102"/>
      <c r="AF52" s="102"/>
      <c r="AG52" s="102"/>
      <c r="AH52" s="102"/>
      <c r="AI52" s="102"/>
      <c r="AJ52" s="137">
        <v>7.3200000000000001E-2</v>
      </c>
    </row>
    <row r="53" spans="2:36" ht="18" customHeight="1" x14ac:dyDescent="0.25">
      <c r="B53" s="610"/>
      <c r="C53" s="613"/>
      <c r="D53" s="610"/>
      <c r="E53" s="610"/>
      <c r="F53" s="610"/>
      <c r="G53" s="610"/>
      <c r="H53" s="623" t="s">
        <v>1165</v>
      </c>
      <c r="I53" s="623"/>
      <c r="J53" s="624"/>
      <c r="K53" s="627" t="s">
        <v>1207</v>
      </c>
      <c r="L53" s="207" t="s">
        <v>1246</v>
      </c>
      <c r="M53" s="208">
        <v>0.255</v>
      </c>
      <c r="N53" s="630" t="s">
        <v>1175</v>
      </c>
      <c r="O53" s="143" t="s">
        <v>126</v>
      </c>
      <c r="P53" s="209">
        <v>0.05</v>
      </c>
      <c r="Q53" s="627"/>
      <c r="R53" s="627" t="s">
        <v>1177</v>
      </c>
      <c r="S53" s="627" t="s">
        <v>1216</v>
      </c>
      <c r="T53" s="143"/>
      <c r="U53" s="143"/>
      <c r="V53" s="143"/>
      <c r="W53" s="143"/>
      <c r="X53" s="143"/>
      <c r="Y53" s="143"/>
      <c r="Z53" s="143"/>
      <c r="AA53" s="143"/>
      <c r="AB53" s="627" t="s">
        <v>1174</v>
      </c>
      <c r="AC53" s="143"/>
      <c r="AD53" s="166"/>
      <c r="AE53" s="142">
        <v>4.0999999999999999E-7</v>
      </c>
      <c r="AF53" s="167"/>
      <c r="AG53" s="167">
        <v>6.0900000000000001E-6</v>
      </c>
      <c r="AH53" s="167"/>
      <c r="AI53" s="167">
        <v>3.2799999999999999E-6</v>
      </c>
      <c r="AJ53" s="111" t="s">
        <v>1246</v>
      </c>
    </row>
    <row r="54" spans="2:36" ht="11.4" x14ac:dyDescent="0.2">
      <c r="B54" s="610"/>
      <c r="C54" s="613"/>
      <c r="D54" s="610"/>
      <c r="E54" s="610"/>
      <c r="F54" s="610"/>
      <c r="G54" s="610"/>
      <c r="H54" s="623"/>
      <c r="I54" s="623"/>
      <c r="J54" s="625"/>
      <c r="K54" s="628"/>
      <c r="L54" s="207" t="s">
        <v>1169</v>
      </c>
      <c r="M54" s="208">
        <v>7.74</v>
      </c>
      <c r="N54" s="631"/>
      <c r="O54" s="143" t="s">
        <v>126</v>
      </c>
      <c r="P54" s="209">
        <v>1.5</v>
      </c>
      <c r="Q54" s="628"/>
      <c r="R54" s="628"/>
      <c r="S54" s="628"/>
      <c r="T54" s="143"/>
      <c r="U54" s="143"/>
      <c r="V54" s="143"/>
      <c r="W54" s="143"/>
      <c r="X54" s="143"/>
      <c r="Y54" s="143"/>
      <c r="Z54" s="143"/>
      <c r="AA54" s="143"/>
      <c r="AB54" s="628"/>
      <c r="AC54" s="143"/>
      <c r="AD54" s="167">
        <v>2.4699999999999999E-9</v>
      </c>
      <c r="AE54" s="142">
        <v>3.8999999999999999E-4</v>
      </c>
      <c r="AF54" s="167">
        <v>1.7E-8</v>
      </c>
      <c r="AG54" s="167">
        <v>5.8199999999999997E-3</v>
      </c>
      <c r="AH54" s="167">
        <v>1.9700000000000001E-8</v>
      </c>
      <c r="AI54" s="167">
        <v>3.1199999999999999E-3</v>
      </c>
      <c r="AJ54" s="111" t="s">
        <v>1169</v>
      </c>
    </row>
    <row r="55" spans="2:36" ht="12" x14ac:dyDescent="0.25">
      <c r="B55" s="610"/>
      <c r="C55" s="613"/>
      <c r="D55" s="610"/>
      <c r="E55" s="610"/>
      <c r="F55" s="610"/>
      <c r="G55" s="610"/>
      <c r="H55" s="623"/>
      <c r="I55" s="623"/>
      <c r="J55" s="625"/>
      <c r="K55" s="628"/>
      <c r="L55" s="207" t="s">
        <v>1170</v>
      </c>
      <c r="M55" s="208">
        <v>1.25</v>
      </c>
      <c r="N55" s="631"/>
      <c r="O55" s="143" t="s">
        <v>126</v>
      </c>
      <c r="P55" s="209">
        <v>0.15</v>
      </c>
      <c r="Q55" s="628"/>
      <c r="R55" s="628"/>
      <c r="S55" s="628"/>
      <c r="T55" s="143"/>
      <c r="U55" s="143"/>
      <c r="V55" s="143"/>
      <c r="W55" s="143"/>
      <c r="X55" s="143"/>
      <c r="Y55" s="143"/>
      <c r="Z55" s="143"/>
      <c r="AA55" s="143"/>
      <c r="AB55" s="628"/>
      <c r="AC55" s="143"/>
      <c r="AD55" s="166"/>
      <c r="AE55" s="142">
        <v>1.52E-5</v>
      </c>
      <c r="AF55" s="167"/>
      <c r="AG55" s="167">
        <v>2.24E-4</v>
      </c>
      <c r="AH55" s="167"/>
      <c r="AI55" s="167">
        <v>1.22E-4</v>
      </c>
      <c r="AJ55" s="111" t="s">
        <v>1170</v>
      </c>
    </row>
    <row r="56" spans="2:36" ht="11.4" customHeight="1" x14ac:dyDescent="0.2">
      <c r="B56" s="610"/>
      <c r="C56" s="613"/>
      <c r="D56" s="610"/>
      <c r="E56" s="610"/>
      <c r="F56" s="610"/>
      <c r="G56" s="610"/>
      <c r="H56" s="623"/>
      <c r="I56" s="623"/>
      <c r="J56" s="625"/>
      <c r="K56" s="628"/>
      <c r="L56" s="207" t="s">
        <v>1166</v>
      </c>
      <c r="M56" s="208">
        <v>35.799999999999997</v>
      </c>
      <c r="N56" s="631"/>
      <c r="O56" s="143" t="s">
        <v>126</v>
      </c>
      <c r="P56" s="209">
        <v>10</v>
      </c>
      <c r="Q56" s="628"/>
      <c r="R56" s="628"/>
      <c r="S56" s="628"/>
      <c r="T56" s="143"/>
      <c r="U56" s="143"/>
      <c r="V56" s="143"/>
      <c r="W56" s="143"/>
      <c r="X56" s="143"/>
      <c r="Y56" s="143"/>
      <c r="Z56" s="143"/>
      <c r="AA56" s="143"/>
      <c r="AB56" s="628"/>
      <c r="AC56" s="143"/>
      <c r="AD56" s="144"/>
      <c r="AE56" s="142"/>
      <c r="AF56" s="111"/>
      <c r="AG56" s="111"/>
      <c r="AH56" s="111"/>
      <c r="AI56" s="111"/>
      <c r="AJ56" s="111" t="s">
        <v>1166</v>
      </c>
    </row>
    <row r="57" spans="2:36" ht="29.25" customHeight="1" x14ac:dyDescent="0.2">
      <c r="B57" s="610"/>
      <c r="C57" s="613"/>
      <c r="D57" s="610"/>
      <c r="E57" s="610"/>
      <c r="F57" s="610"/>
      <c r="G57" s="610"/>
      <c r="H57" s="623"/>
      <c r="I57" s="623"/>
      <c r="J57" s="625"/>
      <c r="K57" s="628"/>
      <c r="L57" s="207" t="s">
        <v>1171</v>
      </c>
      <c r="M57" s="208">
        <v>660</v>
      </c>
      <c r="N57" s="631"/>
      <c r="O57" s="143" t="s">
        <v>126</v>
      </c>
      <c r="P57" s="209">
        <v>200</v>
      </c>
      <c r="Q57" s="628"/>
      <c r="R57" s="628"/>
      <c r="S57" s="628"/>
      <c r="T57" s="143"/>
      <c r="U57" s="143"/>
      <c r="V57" s="143"/>
      <c r="W57" s="143"/>
      <c r="X57" s="143"/>
      <c r="Y57" s="143"/>
      <c r="Z57" s="143"/>
      <c r="AA57" s="143"/>
      <c r="AB57" s="628"/>
      <c r="AC57" s="143"/>
      <c r="AD57" s="144"/>
      <c r="AE57" s="142"/>
      <c r="AF57" s="111"/>
      <c r="AG57" s="111"/>
      <c r="AH57" s="111"/>
      <c r="AI57" s="111"/>
      <c r="AJ57" s="111" t="s">
        <v>1171</v>
      </c>
    </row>
    <row r="58" spans="2:36" ht="11.4" x14ac:dyDescent="0.2">
      <c r="B58" s="610"/>
      <c r="C58" s="613"/>
      <c r="D58" s="610"/>
      <c r="E58" s="610"/>
      <c r="F58" s="610"/>
      <c r="G58" s="610"/>
      <c r="H58" s="623"/>
      <c r="I58" s="623"/>
      <c r="J58" s="625"/>
      <c r="K58" s="628"/>
      <c r="L58" s="207" t="s">
        <v>816</v>
      </c>
      <c r="M58" s="208">
        <v>17200</v>
      </c>
      <c r="N58" s="631"/>
      <c r="O58" s="143" t="s">
        <v>126</v>
      </c>
      <c r="P58" s="209">
        <v>200</v>
      </c>
      <c r="Q58" s="628"/>
      <c r="R58" s="628"/>
      <c r="S58" s="628" t="s">
        <v>1220</v>
      </c>
      <c r="T58" s="143"/>
      <c r="U58" s="143"/>
      <c r="V58" s="143"/>
      <c r="W58" s="143"/>
      <c r="X58" s="143"/>
      <c r="Y58" s="143"/>
      <c r="Z58" s="143"/>
      <c r="AA58" s="143"/>
      <c r="AB58" s="628"/>
      <c r="AC58" s="143"/>
      <c r="AD58" s="144"/>
      <c r="AE58" s="142"/>
      <c r="AF58" s="111"/>
      <c r="AG58" s="111"/>
      <c r="AH58" s="111"/>
      <c r="AI58" s="111"/>
      <c r="AJ58" s="111" t="s">
        <v>816</v>
      </c>
    </row>
    <row r="59" spans="2:36" ht="11.4" x14ac:dyDescent="0.2">
      <c r="B59" s="610"/>
      <c r="C59" s="613"/>
      <c r="D59" s="610"/>
      <c r="E59" s="610"/>
      <c r="F59" s="610"/>
      <c r="G59" s="610"/>
      <c r="H59" s="623"/>
      <c r="I59" s="623"/>
      <c r="J59" s="625"/>
      <c r="K59" s="628"/>
      <c r="L59" s="207" t="s">
        <v>817</v>
      </c>
      <c r="M59" s="208">
        <v>2060</v>
      </c>
      <c r="N59" s="631"/>
      <c r="O59" s="143" t="s">
        <v>126</v>
      </c>
      <c r="P59" s="209">
        <v>50</v>
      </c>
      <c r="Q59" s="628"/>
      <c r="R59" s="628"/>
      <c r="S59" s="628"/>
      <c r="T59" s="143"/>
      <c r="U59" s="143"/>
      <c r="V59" s="143"/>
      <c r="W59" s="143"/>
      <c r="X59" s="143"/>
      <c r="Y59" s="143"/>
      <c r="Z59" s="143"/>
      <c r="AA59" s="143"/>
      <c r="AB59" s="628"/>
      <c r="AC59" s="143"/>
      <c r="AD59" s="144"/>
      <c r="AE59" s="142"/>
      <c r="AF59" s="111"/>
      <c r="AG59" s="111"/>
      <c r="AH59" s="111"/>
      <c r="AI59" s="111"/>
      <c r="AJ59" s="111" t="s">
        <v>817</v>
      </c>
    </row>
    <row r="60" spans="2:36" ht="11.4" x14ac:dyDescent="0.2">
      <c r="B60" s="610"/>
      <c r="C60" s="613"/>
      <c r="D60" s="610"/>
      <c r="E60" s="610"/>
      <c r="F60" s="610"/>
      <c r="G60" s="610"/>
      <c r="H60" s="623"/>
      <c r="I60" s="623"/>
      <c r="J60" s="625"/>
      <c r="K60" s="628"/>
      <c r="L60" s="207" t="s">
        <v>1172</v>
      </c>
      <c r="M60" s="208">
        <v>11900</v>
      </c>
      <c r="N60" s="631"/>
      <c r="O60" s="143" t="s">
        <v>126</v>
      </c>
      <c r="P60" s="209">
        <v>1500</v>
      </c>
      <c r="Q60" s="628"/>
      <c r="R60" s="628"/>
      <c r="S60" s="628"/>
      <c r="T60" s="143"/>
      <c r="U60" s="143"/>
      <c r="V60" s="143"/>
      <c r="W60" s="143"/>
      <c r="X60" s="143"/>
      <c r="Y60" s="143"/>
      <c r="Z60" s="143"/>
      <c r="AA60" s="143"/>
      <c r="AB60" s="628"/>
      <c r="AC60" s="143"/>
      <c r="AD60" s="144"/>
      <c r="AE60" s="142"/>
      <c r="AF60" s="111"/>
      <c r="AG60" s="111"/>
      <c r="AH60" s="111"/>
      <c r="AI60" s="111"/>
      <c r="AJ60" s="111" t="s">
        <v>1172</v>
      </c>
    </row>
    <row r="61" spans="2:36" ht="60.75" customHeight="1" x14ac:dyDescent="0.2">
      <c r="B61" s="611"/>
      <c r="C61" s="614"/>
      <c r="D61" s="611"/>
      <c r="E61" s="611"/>
      <c r="F61" s="611"/>
      <c r="G61" s="611"/>
      <c r="H61" s="623"/>
      <c r="I61" s="623"/>
      <c r="J61" s="626"/>
      <c r="K61" s="629"/>
      <c r="L61" s="207" t="s">
        <v>1168</v>
      </c>
      <c r="M61" s="208">
        <v>1780</v>
      </c>
      <c r="N61" s="632"/>
      <c r="O61" s="209" t="s">
        <v>126</v>
      </c>
      <c r="P61" s="210">
        <v>0.5</v>
      </c>
      <c r="Q61" s="629"/>
      <c r="R61" s="629"/>
      <c r="S61" s="629"/>
      <c r="T61" s="143"/>
      <c r="U61" s="143"/>
      <c r="V61" s="143"/>
      <c r="W61" s="143"/>
      <c r="X61" s="143"/>
      <c r="Y61" s="143"/>
      <c r="Z61" s="143"/>
      <c r="AA61" s="143"/>
      <c r="AB61" s="629"/>
      <c r="AC61" s="143"/>
      <c r="AD61" s="144"/>
      <c r="AE61" s="142"/>
      <c r="AF61" s="111"/>
      <c r="AG61" s="111"/>
      <c r="AH61" s="111"/>
      <c r="AI61" s="111"/>
      <c r="AJ61" s="111" t="s">
        <v>1168</v>
      </c>
    </row>
    <row r="62" spans="2:36" x14ac:dyDescent="0.2">
      <c r="B62" s="608"/>
      <c r="C62" s="618"/>
      <c r="D62" s="608"/>
      <c r="E62" s="608"/>
      <c r="F62" s="619"/>
      <c r="G62" s="619"/>
      <c r="H62" s="608"/>
      <c r="I62" s="608"/>
      <c r="J62" s="619"/>
      <c r="K62" s="608"/>
      <c r="L62" s="123"/>
      <c r="M62" s="124"/>
      <c r="P62" s="125"/>
      <c r="Q62" s="608"/>
      <c r="R62" s="608"/>
      <c r="S62" s="119"/>
      <c r="AB62" s="617"/>
      <c r="AC62" s="92" t="s">
        <v>1249</v>
      </c>
      <c r="AD62" s="126">
        <f>MAX(AD7:AD61)</f>
        <v>4.9399999999999997E-4</v>
      </c>
      <c r="AE62" s="126">
        <f t="shared" ref="AE62:AI62" si="0">MAX(AE7:AE61)</f>
        <v>8.8699999999999992</v>
      </c>
      <c r="AF62" s="126">
        <f t="shared" si="0"/>
        <v>1.7E-8</v>
      </c>
      <c r="AG62" s="126">
        <f t="shared" si="0"/>
        <v>2.86E-2</v>
      </c>
      <c r="AH62" s="126">
        <f t="shared" si="0"/>
        <v>1.9700000000000001E-8</v>
      </c>
      <c r="AI62" s="126">
        <f t="shared" si="0"/>
        <v>0.27800000000000002</v>
      </c>
    </row>
    <row r="63" spans="2:36" x14ac:dyDescent="0.2">
      <c r="B63" s="608"/>
      <c r="C63" s="618"/>
      <c r="D63" s="608"/>
      <c r="E63" s="608"/>
      <c r="F63" s="619"/>
      <c r="G63" s="619"/>
      <c r="H63" s="608"/>
      <c r="I63" s="608"/>
      <c r="J63" s="619"/>
      <c r="K63" s="618"/>
      <c r="L63" s="607"/>
      <c r="M63" s="605"/>
      <c r="P63" s="606"/>
      <c r="Q63" s="608"/>
      <c r="R63" s="608"/>
      <c r="S63" s="608"/>
      <c r="AB63" s="618"/>
      <c r="AC63" s="92" t="s">
        <v>1250</v>
      </c>
      <c r="AD63" s="203" t="b">
        <f>'Ex Ilva-Ex Italsider '!Z106=COUNTIF(AD7:AD61,"&gt;0,000001")</f>
        <v>0</v>
      </c>
      <c r="AE63" s="203">
        <f>COUNTIF(AE7:AE61,"&gt;1")</f>
        <v>5</v>
      </c>
      <c r="AF63" s="203">
        <f>COUNTIF(AF7:AF61,"&gt;0,000001")</f>
        <v>0</v>
      </c>
      <c r="AG63" s="203">
        <f>COUNTIF(AG7:AG61,"&gt;1")</f>
        <v>0</v>
      </c>
      <c r="AH63" s="203">
        <f>COUNTIF(AH7:AH61,"&gt;0,000001")</f>
        <v>0</v>
      </c>
      <c r="AI63" s="203">
        <f>COUNTIF(AI7:AI61,"&gt;1")</f>
        <v>0</v>
      </c>
    </row>
    <row r="64" spans="2:36" x14ac:dyDescent="0.2">
      <c r="B64" s="608"/>
      <c r="C64" s="618"/>
      <c r="D64" s="608"/>
      <c r="E64" s="608"/>
      <c r="F64" s="619"/>
      <c r="G64" s="619"/>
      <c r="H64" s="608"/>
      <c r="I64" s="608"/>
      <c r="J64" s="619"/>
      <c r="K64" s="618"/>
      <c r="L64" s="607"/>
      <c r="M64" s="605"/>
      <c r="P64" s="606"/>
      <c r="Q64" s="608"/>
      <c r="R64" s="608"/>
      <c r="S64" s="608"/>
      <c r="AB64" s="618"/>
      <c r="AD64" s="615"/>
      <c r="AE64" s="616"/>
    </row>
    <row r="65" spans="2:31" x14ac:dyDescent="0.2">
      <c r="B65" s="608"/>
      <c r="C65" s="618"/>
      <c r="D65" s="608"/>
      <c r="E65" s="608"/>
      <c r="F65" s="619"/>
      <c r="G65" s="619"/>
      <c r="H65" s="608"/>
      <c r="I65" s="608"/>
      <c r="J65" s="619"/>
      <c r="K65" s="618"/>
      <c r="L65" s="123"/>
      <c r="M65" s="124"/>
      <c r="P65" s="125"/>
      <c r="Q65" s="608"/>
      <c r="R65" s="608"/>
      <c r="S65" s="119"/>
      <c r="AB65" s="618"/>
      <c r="AD65" s="127"/>
      <c r="AE65" s="128"/>
    </row>
    <row r="66" spans="2:31" ht="11.25" customHeight="1" x14ac:dyDescent="0.2">
      <c r="B66" s="608"/>
      <c r="C66" s="618"/>
      <c r="D66" s="608"/>
      <c r="E66" s="608"/>
      <c r="F66" s="619"/>
      <c r="G66" s="619"/>
      <c r="H66" s="608"/>
      <c r="I66" s="608"/>
      <c r="J66" s="619"/>
      <c r="K66" s="618"/>
      <c r="L66" s="607"/>
      <c r="M66" s="605"/>
      <c r="P66" s="606"/>
      <c r="Q66" s="608"/>
      <c r="R66" s="608"/>
      <c r="S66" s="608"/>
      <c r="AB66" s="618"/>
      <c r="AD66" s="122"/>
      <c r="AE66" s="129"/>
    </row>
    <row r="67" spans="2:31" x14ac:dyDescent="0.2">
      <c r="B67" s="608"/>
      <c r="C67" s="618"/>
      <c r="D67" s="608"/>
      <c r="E67" s="608"/>
      <c r="F67" s="619"/>
      <c r="G67" s="619"/>
      <c r="H67" s="608"/>
      <c r="I67" s="608"/>
      <c r="J67" s="619"/>
      <c r="K67" s="618"/>
      <c r="L67" s="607"/>
      <c r="M67" s="605"/>
      <c r="P67" s="606"/>
      <c r="Q67" s="608"/>
      <c r="R67" s="608"/>
      <c r="S67" s="608"/>
      <c r="AB67" s="618"/>
      <c r="AD67" s="122"/>
      <c r="AE67" s="129"/>
    </row>
    <row r="68" spans="2:31" x14ac:dyDescent="0.2">
      <c r="B68" s="608"/>
      <c r="C68" s="618"/>
      <c r="D68" s="608"/>
      <c r="E68" s="608"/>
      <c r="F68" s="619"/>
      <c r="G68" s="619"/>
      <c r="H68" s="608"/>
      <c r="I68" s="608"/>
      <c r="J68" s="619"/>
      <c r="K68" s="618"/>
      <c r="L68" s="607"/>
      <c r="M68" s="605"/>
      <c r="P68" s="606"/>
      <c r="Q68" s="608"/>
      <c r="R68" s="608"/>
      <c r="S68" s="608"/>
      <c r="AB68" s="618"/>
      <c r="AD68" s="122"/>
      <c r="AE68" s="129"/>
    </row>
    <row r="69" spans="2:31" x14ac:dyDescent="0.2">
      <c r="B69" s="608"/>
      <c r="C69" s="618"/>
      <c r="D69" s="608"/>
      <c r="E69" s="608"/>
      <c r="F69" s="619"/>
      <c r="G69" s="619"/>
      <c r="H69" s="608"/>
      <c r="I69" s="608"/>
      <c r="J69" s="619"/>
      <c r="K69" s="618"/>
      <c r="L69" s="607"/>
      <c r="M69" s="605"/>
      <c r="P69" s="606"/>
      <c r="Q69" s="608"/>
      <c r="R69" s="608"/>
      <c r="S69" s="608"/>
      <c r="AB69" s="618"/>
      <c r="AD69" s="122"/>
      <c r="AE69" s="129"/>
    </row>
    <row r="70" spans="2:31" x14ac:dyDescent="0.2">
      <c r="B70" s="608"/>
      <c r="C70" s="618"/>
      <c r="D70" s="608"/>
      <c r="E70" s="608"/>
      <c r="F70" s="619"/>
      <c r="G70" s="619"/>
      <c r="H70" s="608"/>
      <c r="I70" s="608"/>
      <c r="J70" s="619"/>
      <c r="K70" s="618"/>
      <c r="L70" s="607"/>
      <c r="M70" s="605"/>
      <c r="P70" s="606"/>
      <c r="Q70" s="608"/>
      <c r="R70" s="608"/>
      <c r="S70" s="608"/>
      <c r="AB70" s="618"/>
      <c r="AD70" s="122"/>
      <c r="AE70" s="129"/>
    </row>
    <row r="71" spans="2:31" x14ac:dyDescent="0.2">
      <c r="B71" s="608"/>
      <c r="C71" s="618"/>
      <c r="D71" s="608"/>
      <c r="E71" s="608"/>
      <c r="F71" s="619"/>
      <c r="G71" s="619"/>
      <c r="H71" s="608"/>
      <c r="I71" s="608"/>
      <c r="J71" s="619"/>
      <c r="K71" s="618"/>
      <c r="L71" s="607"/>
      <c r="M71" s="605"/>
      <c r="P71" s="606"/>
      <c r="Q71" s="608"/>
      <c r="R71" s="608"/>
      <c r="S71" s="608"/>
      <c r="AB71" s="618"/>
      <c r="AD71" s="122"/>
      <c r="AE71" s="129"/>
    </row>
    <row r="72" spans="2:31" x14ac:dyDescent="0.2">
      <c r="B72" s="608"/>
      <c r="C72" s="618"/>
      <c r="D72" s="608"/>
      <c r="E72" s="608"/>
      <c r="F72" s="619"/>
      <c r="G72" s="619"/>
      <c r="H72" s="608"/>
      <c r="I72" s="608"/>
      <c r="J72" s="619"/>
      <c r="K72" s="618"/>
      <c r="L72" s="607"/>
      <c r="M72" s="605"/>
      <c r="P72" s="606"/>
      <c r="Q72" s="608"/>
      <c r="R72" s="608"/>
      <c r="S72" s="608"/>
      <c r="AB72" s="618"/>
      <c r="AD72" s="122"/>
      <c r="AE72" s="129"/>
    </row>
    <row r="73" spans="2:31" x14ac:dyDescent="0.2">
      <c r="B73" s="608"/>
      <c r="C73" s="618"/>
      <c r="D73" s="608"/>
      <c r="E73" s="608"/>
      <c r="F73" s="619"/>
      <c r="G73" s="619"/>
      <c r="H73" s="608"/>
      <c r="I73" s="608"/>
      <c r="J73" s="619"/>
      <c r="K73" s="618"/>
      <c r="L73" s="607"/>
      <c r="M73" s="605"/>
      <c r="P73" s="606"/>
      <c r="Q73" s="608"/>
      <c r="R73" s="608"/>
      <c r="S73" s="608"/>
      <c r="AB73" s="618"/>
      <c r="AD73" s="122"/>
      <c r="AE73" s="129"/>
    </row>
    <row r="74" spans="2:31" x14ac:dyDescent="0.2">
      <c r="B74" s="608"/>
      <c r="C74" s="618"/>
      <c r="D74" s="608"/>
      <c r="E74" s="608"/>
      <c r="F74" s="619"/>
      <c r="G74" s="619"/>
      <c r="H74" s="608"/>
      <c r="I74" s="608"/>
      <c r="J74" s="619"/>
      <c r="K74" s="618"/>
      <c r="L74" s="607"/>
      <c r="M74" s="605"/>
      <c r="P74" s="606"/>
      <c r="Q74" s="608"/>
      <c r="R74" s="608"/>
      <c r="S74" s="608"/>
      <c r="AB74" s="618"/>
      <c r="AD74" s="122"/>
      <c r="AE74" s="129"/>
    </row>
    <row r="75" spans="2:31" x14ac:dyDescent="0.2">
      <c r="B75" s="608"/>
      <c r="C75" s="618"/>
      <c r="D75" s="608"/>
      <c r="E75" s="608"/>
      <c r="F75" s="619"/>
      <c r="G75" s="619"/>
      <c r="H75" s="608"/>
      <c r="I75" s="608"/>
      <c r="J75" s="619"/>
      <c r="K75" s="618"/>
      <c r="L75" s="607"/>
      <c r="M75" s="605"/>
      <c r="P75" s="606"/>
      <c r="Q75" s="608"/>
      <c r="R75" s="608"/>
      <c r="S75" s="608"/>
      <c r="AB75" s="618"/>
      <c r="AD75" s="122"/>
      <c r="AE75" s="129"/>
    </row>
    <row r="76" spans="2:31" x14ac:dyDescent="0.2">
      <c r="B76" s="608"/>
      <c r="C76" s="618"/>
      <c r="D76" s="608"/>
      <c r="E76" s="608"/>
      <c r="F76" s="619"/>
      <c r="G76" s="619"/>
      <c r="H76" s="608"/>
      <c r="I76" s="608"/>
      <c r="J76" s="619"/>
      <c r="K76" s="618"/>
      <c r="L76" s="607"/>
      <c r="M76" s="605"/>
      <c r="P76" s="606"/>
      <c r="Q76" s="608"/>
      <c r="R76" s="608"/>
      <c r="S76" s="608"/>
      <c r="AB76" s="618"/>
      <c r="AD76" s="122"/>
      <c r="AE76" s="129"/>
    </row>
    <row r="77" spans="2:31" x14ac:dyDescent="0.2">
      <c r="B77" s="608"/>
      <c r="C77" s="618"/>
      <c r="D77" s="608"/>
      <c r="E77" s="608"/>
      <c r="F77" s="619"/>
      <c r="G77" s="619"/>
      <c r="H77" s="608"/>
      <c r="I77" s="608"/>
      <c r="J77" s="619"/>
      <c r="K77" s="618"/>
      <c r="L77" s="607"/>
      <c r="M77" s="605"/>
      <c r="P77" s="606"/>
      <c r="Q77" s="608"/>
      <c r="R77" s="608"/>
      <c r="S77" s="608"/>
      <c r="AB77" s="618"/>
      <c r="AD77" s="122"/>
      <c r="AE77" s="129"/>
    </row>
    <row r="78" spans="2:31" x14ac:dyDescent="0.2">
      <c r="B78" s="608"/>
      <c r="C78" s="618"/>
      <c r="D78" s="608"/>
      <c r="E78" s="608"/>
      <c r="F78" s="619"/>
      <c r="G78" s="619"/>
      <c r="H78" s="608"/>
      <c r="I78" s="608"/>
      <c r="J78" s="619"/>
      <c r="K78" s="618"/>
      <c r="L78" s="607"/>
      <c r="M78" s="605"/>
      <c r="P78" s="606"/>
      <c r="Q78" s="608"/>
      <c r="R78" s="608"/>
      <c r="S78" s="608"/>
      <c r="AB78" s="618"/>
      <c r="AD78" s="122"/>
      <c r="AE78" s="129"/>
    </row>
    <row r="79" spans="2:31" x14ac:dyDescent="0.2">
      <c r="B79" s="608"/>
      <c r="C79" s="618"/>
      <c r="D79" s="608"/>
      <c r="E79" s="608"/>
      <c r="F79" s="619"/>
      <c r="G79" s="619"/>
      <c r="H79" s="608"/>
      <c r="I79" s="608"/>
      <c r="J79" s="619"/>
      <c r="K79" s="618"/>
      <c r="L79" s="607"/>
      <c r="M79" s="605"/>
      <c r="P79" s="606"/>
      <c r="Q79" s="608"/>
      <c r="R79" s="608"/>
      <c r="S79" s="608"/>
      <c r="AB79" s="618"/>
      <c r="AD79" s="122"/>
      <c r="AE79" s="129"/>
    </row>
    <row r="80" spans="2:31" x14ac:dyDescent="0.2">
      <c r="B80" s="608"/>
      <c r="C80" s="618"/>
      <c r="D80" s="608"/>
      <c r="E80" s="608"/>
      <c r="F80" s="619"/>
      <c r="G80" s="619"/>
      <c r="H80" s="608"/>
      <c r="I80" s="608"/>
      <c r="J80" s="619"/>
      <c r="K80" s="618"/>
      <c r="L80" s="607"/>
      <c r="M80" s="605"/>
      <c r="P80" s="606"/>
      <c r="Q80" s="608"/>
      <c r="R80" s="608"/>
      <c r="S80" s="608"/>
      <c r="AB80" s="618"/>
      <c r="AE80" s="129"/>
    </row>
    <row r="81" spans="2:31" x14ac:dyDescent="0.2">
      <c r="B81" s="608"/>
      <c r="C81" s="618"/>
      <c r="D81" s="608"/>
      <c r="E81" s="608"/>
      <c r="F81" s="619"/>
      <c r="G81" s="619"/>
      <c r="H81" s="608"/>
      <c r="I81" s="608"/>
      <c r="J81" s="619"/>
      <c r="K81" s="618"/>
      <c r="L81" s="607"/>
      <c r="M81" s="606"/>
      <c r="P81" s="606"/>
      <c r="Q81" s="608"/>
      <c r="R81" s="608"/>
      <c r="S81" s="608"/>
      <c r="AB81" s="618"/>
      <c r="AE81" s="129"/>
    </row>
    <row r="82" spans="2:31" x14ac:dyDescent="0.2">
      <c r="B82" s="608"/>
      <c r="C82" s="618"/>
      <c r="D82" s="608"/>
      <c r="E82" s="608"/>
      <c r="F82" s="619"/>
      <c r="G82" s="619"/>
      <c r="H82" s="608"/>
      <c r="I82" s="608"/>
      <c r="J82" s="619"/>
      <c r="K82" s="618"/>
      <c r="L82" s="607"/>
      <c r="M82" s="605"/>
      <c r="Q82" s="608"/>
      <c r="R82" s="608"/>
      <c r="S82" s="608"/>
      <c r="AB82" s="618"/>
      <c r="AD82" s="122"/>
      <c r="AE82" s="129"/>
    </row>
    <row r="83" spans="2:31" x14ac:dyDescent="0.2">
      <c r="B83" s="608"/>
      <c r="C83" s="618"/>
      <c r="D83" s="608"/>
      <c r="E83" s="608"/>
      <c r="F83" s="619"/>
      <c r="G83" s="619"/>
      <c r="H83" s="608"/>
      <c r="I83" s="608"/>
      <c r="J83" s="619"/>
      <c r="K83" s="618"/>
      <c r="L83" s="607"/>
      <c r="M83" s="605"/>
      <c r="Q83" s="608"/>
      <c r="R83" s="608"/>
      <c r="S83" s="608"/>
      <c r="AB83" s="618"/>
      <c r="AD83" s="122"/>
      <c r="AE83" s="129"/>
    </row>
    <row r="84" spans="2:31" x14ac:dyDescent="0.2">
      <c r="B84" s="608"/>
      <c r="C84" s="618"/>
      <c r="D84" s="608"/>
      <c r="E84" s="608"/>
      <c r="F84" s="619"/>
      <c r="G84" s="619"/>
      <c r="H84" s="608"/>
      <c r="I84" s="608"/>
      <c r="J84" s="619"/>
      <c r="K84" s="618"/>
      <c r="L84" s="607"/>
      <c r="M84" s="605"/>
      <c r="Q84" s="608"/>
      <c r="R84" s="608"/>
      <c r="S84" s="608"/>
      <c r="AB84" s="618"/>
      <c r="AD84" s="122"/>
      <c r="AE84" s="130"/>
    </row>
    <row r="85" spans="2:31" x14ac:dyDescent="0.2">
      <c r="B85" s="608"/>
      <c r="C85" s="618"/>
      <c r="D85" s="608"/>
      <c r="E85" s="608"/>
      <c r="F85" s="619"/>
      <c r="G85" s="619"/>
      <c r="H85" s="608"/>
      <c r="I85" s="608"/>
      <c r="J85" s="619"/>
      <c r="K85" s="618"/>
      <c r="L85" s="607"/>
      <c r="M85" s="605"/>
      <c r="Q85" s="608"/>
      <c r="R85" s="608"/>
      <c r="S85" s="608"/>
      <c r="AB85" s="618"/>
      <c r="AD85" s="122"/>
      <c r="AE85" s="129"/>
    </row>
    <row r="86" spans="2:31" x14ac:dyDescent="0.2">
      <c r="B86" s="608"/>
      <c r="C86" s="618"/>
      <c r="D86" s="608"/>
      <c r="E86" s="608"/>
      <c r="F86" s="619"/>
      <c r="G86" s="619"/>
      <c r="H86" s="608"/>
      <c r="I86" s="608"/>
      <c r="J86" s="619"/>
      <c r="K86" s="618"/>
      <c r="L86" s="607"/>
      <c r="M86" s="605"/>
      <c r="Q86" s="608"/>
      <c r="R86" s="608"/>
      <c r="S86" s="608"/>
      <c r="AB86" s="618"/>
      <c r="AD86" s="122"/>
      <c r="AE86" s="129"/>
    </row>
    <row r="87" spans="2:31" x14ac:dyDescent="0.2">
      <c r="B87" s="608"/>
      <c r="C87" s="618"/>
      <c r="D87" s="608"/>
      <c r="E87" s="608"/>
      <c r="F87" s="619"/>
      <c r="G87" s="619"/>
      <c r="H87" s="608"/>
      <c r="I87" s="608"/>
      <c r="J87" s="619"/>
      <c r="K87" s="618"/>
      <c r="L87" s="607"/>
      <c r="M87" s="605"/>
      <c r="Q87" s="608"/>
      <c r="R87" s="608"/>
      <c r="S87" s="608"/>
      <c r="AB87" s="618"/>
      <c r="AD87" s="122"/>
      <c r="AE87" s="129"/>
    </row>
    <row r="88" spans="2:31" x14ac:dyDescent="0.2">
      <c r="B88" s="608"/>
      <c r="C88" s="618"/>
      <c r="D88" s="608"/>
      <c r="E88" s="608"/>
      <c r="F88" s="619"/>
      <c r="G88" s="619"/>
      <c r="H88" s="608"/>
      <c r="I88" s="608"/>
      <c r="J88" s="619"/>
      <c r="K88" s="618"/>
      <c r="L88" s="607"/>
      <c r="M88" s="605"/>
      <c r="Q88" s="608"/>
      <c r="R88" s="608"/>
      <c r="S88" s="608"/>
      <c r="AB88" s="618"/>
      <c r="AD88" s="122"/>
      <c r="AE88" s="129"/>
    </row>
    <row r="89" spans="2:31" x14ac:dyDescent="0.2">
      <c r="B89" s="608"/>
      <c r="C89" s="618"/>
      <c r="D89" s="608"/>
      <c r="E89" s="608"/>
      <c r="F89" s="619"/>
      <c r="G89" s="619"/>
      <c r="H89" s="608"/>
      <c r="I89" s="608"/>
      <c r="J89" s="619"/>
      <c r="K89" s="618"/>
      <c r="L89" s="607"/>
      <c r="M89" s="605"/>
      <c r="Q89" s="608"/>
      <c r="R89" s="608"/>
      <c r="S89" s="608"/>
      <c r="AB89" s="618"/>
      <c r="AD89" s="122"/>
      <c r="AE89" s="129"/>
    </row>
    <row r="90" spans="2:31" x14ac:dyDescent="0.2">
      <c r="B90" s="608"/>
      <c r="C90" s="618"/>
      <c r="D90" s="608"/>
      <c r="E90" s="608"/>
      <c r="F90" s="619"/>
      <c r="G90" s="619"/>
      <c r="H90" s="608"/>
      <c r="I90" s="608"/>
      <c r="J90" s="619"/>
      <c r="K90" s="618"/>
      <c r="L90" s="607"/>
      <c r="M90" s="605"/>
      <c r="Q90" s="608"/>
      <c r="R90" s="608"/>
      <c r="S90" s="608"/>
      <c r="AB90" s="618"/>
      <c r="AD90" s="122"/>
      <c r="AE90" s="129"/>
    </row>
    <row r="91" spans="2:31" x14ac:dyDescent="0.2">
      <c r="B91" s="608"/>
      <c r="C91" s="618"/>
      <c r="D91" s="608"/>
      <c r="E91" s="608"/>
      <c r="F91" s="619"/>
      <c r="G91" s="619"/>
      <c r="H91" s="608"/>
      <c r="I91" s="608"/>
      <c r="J91" s="619"/>
      <c r="K91" s="618"/>
      <c r="L91" s="607"/>
      <c r="M91" s="605"/>
      <c r="Q91" s="608"/>
      <c r="R91" s="608"/>
      <c r="S91" s="608"/>
      <c r="AB91" s="618"/>
      <c r="AD91" s="122"/>
      <c r="AE91" s="129"/>
    </row>
    <row r="92" spans="2:31" x14ac:dyDescent="0.2">
      <c r="B92" s="608"/>
      <c r="C92" s="618"/>
      <c r="D92" s="608"/>
      <c r="E92" s="608"/>
      <c r="F92" s="619"/>
      <c r="G92" s="619"/>
      <c r="H92" s="608"/>
      <c r="I92" s="608"/>
      <c r="J92" s="619"/>
      <c r="K92" s="618"/>
      <c r="L92" s="607"/>
      <c r="M92" s="605"/>
      <c r="Q92" s="608"/>
      <c r="R92" s="608"/>
      <c r="S92" s="608"/>
      <c r="AB92" s="618"/>
      <c r="AD92" s="122"/>
      <c r="AE92" s="129"/>
    </row>
    <row r="93" spans="2:31" x14ac:dyDescent="0.2">
      <c r="B93" s="608"/>
      <c r="C93" s="618"/>
      <c r="D93" s="608"/>
      <c r="E93" s="608"/>
      <c r="F93" s="619"/>
      <c r="G93" s="619"/>
      <c r="H93" s="608"/>
      <c r="I93" s="608"/>
      <c r="J93" s="619"/>
      <c r="K93" s="618"/>
      <c r="L93" s="607"/>
      <c r="M93" s="605"/>
      <c r="Q93" s="608"/>
      <c r="R93" s="608"/>
      <c r="S93" s="608"/>
      <c r="AB93" s="618"/>
      <c r="AD93" s="122"/>
      <c r="AE93" s="129"/>
    </row>
    <row r="94" spans="2:31" x14ac:dyDescent="0.2">
      <c r="B94" s="608"/>
      <c r="C94" s="618"/>
      <c r="D94" s="608"/>
      <c r="E94" s="608"/>
      <c r="F94" s="619"/>
      <c r="G94" s="619"/>
      <c r="H94" s="608"/>
      <c r="I94" s="608"/>
      <c r="J94" s="619"/>
      <c r="K94" s="618"/>
      <c r="L94" s="607"/>
      <c r="M94" s="605"/>
      <c r="Q94" s="608"/>
      <c r="R94" s="608"/>
      <c r="S94" s="608"/>
      <c r="AB94" s="618"/>
      <c r="AD94" s="122"/>
      <c r="AE94" s="129"/>
    </row>
    <row r="95" spans="2:31" x14ac:dyDescent="0.2">
      <c r="B95" s="608"/>
      <c r="C95" s="618"/>
      <c r="D95" s="608"/>
      <c r="E95" s="608"/>
      <c r="F95" s="619"/>
      <c r="G95" s="619"/>
      <c r="H95" s="608"/>
      <c r="I95" s="608"/>
      <c r="J95" s="619"/>
      <c r="K95" s="618"/>
      <c r="L95" s="607"/>
      <c r="M95" s="605"/>
      <c r="Q95" s="608"/>
      <c r="R95" s="608"/>
      <c r="S95" s="608"/>
      <c r="AB95" s="618"/>
      <c r="AD95" s="122"/>
      <c r="AE95" s="129"/>
    </row>
    <row r="96" spans="2:31" x14ac:dyDescent="0.2">
      <c r="B96" s="608"/>
      <c r="C96" s="618"/>
      <c r="D96" s="608"/>
      <c r="E96" s="608"/>
      <c r="F96" s="619"/>
      <c r="G96" s="619"/>
      <c r="H96" s="608"/>
      <c r="I96" s="608"/>
      <c r="J96" s="619"/>
      <c r="K96" s="618"/>
      <c r="L96" s="607"/>
      <c r="M96" s="605"/>
      <c r="Q96" s="608"/>
      <c r="R96" s="608"/>
      <c r="S96" s="608"/>
      <c r="AB96" s="618"/>
      <c r="AD96" s="122"/>
      <c r="AE96" s="122"/>
    </row>
    <row r="97" spans="2:31" x14ac:dyDescent="0.2">
      <c r="B97" s="608"/>
      <c r="C97" s="618"/>
      <c r="D97" s="608"/>
      <c r="E97" s="608"/>
      <c r="F97" s="619"/>
      <c r="G97" s="619"/>
      <c r="H97" s="608"/>
      <c r="I97" s="608"/>
      <c r="J97" s="619"/>
      <c r="K97" s="618"/>
      <c r="L97" s="607"/>
      <c r="M97" s="606"/>
      <c r="Q97" s="608"/>
      <c r="R97" s="608"/>
      <c r="S97" s="608"/>
      <c r="AB97" s="618"/>
      <c r="AD97" s="122"/>
      <c r="AE97" s="129"/>
    </row>
  </sheetData>
  <mergeCells count="207">
    <mergeCell ref="AD2:AI3"/>
    <mergeCell ref="AJ2:AJ3"/>
    <mergeCell ref="B3:B6"/>
    <mergeCell ref="C3:C6"/>
    <mergeCell ref="D3:D6"/>
    <mergeCell ref="E3:E6"/>
    <mergeCell ref="F3:F6"/>
    <mergeCell ref="G3:G6"/>
    <mergeCell ref="H3:I6"/>
    <mergeCell ref="J3:J6"/>
    <mergeCell ref="K3:K6"/>
    <mergeCell ref="L3:L6"/>
    <mergeCell ref="M3:O3"/>
    <mergeCell ref="M4:M6"/>
    <mergeCell ref="N4:N6"/>
    <mergeCell ref="O4:O6"/>
    <mergeCell ref="AD4:AE4"/>
    <mergeCell ref="AF4:AG4"/>
    <mergeCell ref="AH4:AI4"/>
    <mergeCell ref="AJ4:AJ6"/>
    <mergeCell ref="U5:W5"/>
    <mergeCell ref="AC3:AC6"/>
    <mergeCell ref="B2:G2"/>
    <mergeCell ref="H2:R2"/>
    <mergeCell ref="S2:AB2"/>
    <mergeCell ref="X5:AA5"/>
    <mergeCell ref="P3:P6"/>
    <mergeCell ref="Q3:R3"/>
    <mergeCell ref="S3:S6"/>
    <mergeCell ref="T3:T6"/>
    <mergeCell ref="U3:AB3"/>
    <mergeCell ref="Q4:Q6"/>
    <mergeCell ref="R4:R6"/>
    <mergeCell ref="U4:AA4"/>
    <mergeCell ref="AB4:AB6"/>
    <mergeCell ref="AA18:AA19"/>
    <mergeCell ref="U20:U21"/>
    <mergeCell ref="W20:W21"/>
    <mergeCell ref="X20:X23"/>
    <mergeCell ref="Y20:Y23"/>
    <mergeCell ref="AA20:AA23"/>
    <mergeCell ref="AA16:AA17"/>
    <mergeCell ref="U18:U19"/>
    <mergeCell ref="U16:U17"/>
    <mergeCell ref="V16:V17"/>
    <mergeCell ref="W16:W17"/>
    <mergeCell ref="X16:X17"/>
    <mergeCell ref="Y16:Y17"/>
    <mergeCell ref="Z16:Z17"/>
    <mergeCell ref="Z20:Z23"/>
    <mergeCell ref="U22:U23"/>
    <mergeCell ref="V22:V23"/>
    <mergeCell ref="W22:W23"/>
    <mergeCell ref="W7:W8"/>
    <mergeCell ref="X7:X8"/>
    <mergeCell ref="V12:V13"/>
    <mergeCell ref="W12:W13"/>
    <mergeCell ref="U24:U25"/>
    <mergeCell ref="V24:V25"/>
    <mergeCell ref="W24:W25"/>
    <mergeCell ref="U30:U31"/>
    <mergeCell ref="V30:V31"/>
    <mergeCell ref="W30:W31"/>
    <mergeCell ref="X24:X25"/>
    <mergeCell ref="X30:AA31"/>
    <mergeCell ref="Z24:Z25"/>
    <mergeCell ref="AA24:AA25"/>
    <mergeCell ref="U26:U27"/>
    <mergeCell ref="V26:V27"/>
    <mergeCell ref="W26:W27"/>
    <mergeCell ref="X26:X27"/>
    <mergeCell ref="Y26:Y27"/>
    <mergeCell ref="Z26:Z27"/>
    <mergeCell ref="Z7:Z8"/>
    <mergeCell ref="AA7:AA8"/>
    <mergeCell ref="X12:X13"/>
    <mergeCell ref="Z18:Z19"/>
    <mergeCell ref="AB7:AB31"/>
    <mergeCell ref="U9:U11"/>
    <mergeCell ref="V9:V11"/>
    <mergeCell ref="W9:W11"/>
    <mergeCell ref="X9:X11"/>
    <mergeCell ref="Y9:AA11"/>
    <mergeCell ref="U12:U13"/>
    <mergeCell ref="Y12:Y13"/>
    <mergeCell ref="Z12:Z13"/>
    <mergeCell ref="AA12:AA13"/>
    <mergeCell ref="U14:U15"/>
    <mergeCell ref="V14:V15"/>
    <mergeCell ref="W14:W15"/>
    <mergeCell ref="X14:X15"/>
    <mergeCell ref="Y14:Y15"/>
    <mergeCell ref="Z14:Z15"/>
    <mergeCell ref="AA14:AA15"/>
    <mergeCell ref="V20:V21"/>
    <mergeCell ref="Y28:Y29"/>
    <mergeCell ref="Z28:Z29"/>
    <mergeCell ref="AA28:AA29"/>
    <mergeCell ref="W18:W19"/>
    <mergeCell ref="X18:X19"/>
    <mergeCell ref="Y18:Y19"/>
    <mergeCell ref="AA26:AA27"/>
    <mergeCell ref="R32:R52"/>
    <mergeCell ref="S32:S42"/>
    <mergeCell ref="H7:I31"/>
    <mergeCell ref="J7:J31"/>
    <mergeCell ref="K7:K31"/>
    <mergeCell ref="N7:N31"/>
    <mergeCell ref="Q7:Q31"/>
    <mergeCell ref="R7:R31"/>
    <mergeCell ref="Y24:Y25"/>
    <mergeCell ref="U28:U29"/>
    <mergeCell ref="V28:V29"/>
    <mergeCell ref="W28:W29"/>
    <mergeCell ref="X28:X29"/>
    <mergeCell ref="S17:S23"/>
    <mergeCell ref="V18:V19"/>
    <mergeCell ref="S7:S11"/>
    <mergeCell ref="S12:S16"/>
    <mergeCell ref="S24:S31"/>
    <mergeCell ref="Y7:Y8"/>
    <mergeCell ref="T7:T18"/>
    <mergeCell ref="T19:T31"/>
    <mergeCell ref="U7:U8"/>
    <mergeCell ref="V7:V8"/>
    <mergeCell ref="C62:C97"/>
    <mergeCell ref="D62:D97"/>
    <mergeCell ref="E62:E97"/>
    <mergeCell ref="F62:F97"/>
    <mergeCell ref="G62:G97"/>
    <mergeCell ref="H62:I65"/>
    <mergeCell ref="J62:J97"/>
    <mergeCell ref="K62:K97"/>
    <mergeCell ref="AB32:AB52"/>
    <mergeCell ref="S44:S52"/>
    <mergeCell ref="H53:I61"/>
    <mergeCell ref="J53:J61"/>
    <mergeCell ref="K53:K61"/>
    <mergeCell ref="N53:N61"/>
    <mergeCell ref="Q53:Q61"/>
    <mergeCell ref="R53:R61"/>
    <mergeCell ref="S53:S57"/>
    <mergeCell ref="AB53:AB61"/>
    <mergeCell ref="S58:S61"/>
    <mergeCell ref="H32:I52"/>
    <mergeCell ref="J32:J52"/>
    <mergeCell ref="K32:K52"/>
    <mergeCell ref="N32:N52"/>
    <mergeCell ref="Q32:Q52"/>
    <mergeCell ref="B7:B61"/>
    <mergeCell ref="C7:C61"/>
    <mergeCell ref="D7:D61"/>
    <mergeCell ref="E7:E61"/>
    <mergeCell ref="F7:F61"/>
    <mergeCell ref="G7:G61"/>
    <mergeCell ref="AD64:AE64"/>
    <mergeCell ref="H66:I97"/>
    <mergeCell ref="L66:L67"/>
    <mergeCell ref="M66:M67"/>
    <mergeCell ref="P66:P67"/>
    <mergeCell ref="S66:S81"/>
    <mergeCell ref="L68:L69"/>
    <mergeCell ref="M68:M69"/>
    <mergeCell ref="P68:P69"/>
    <mergeCell ref="Q62:Q97"/>
    <mergeCell ref="R62:R97"/>
    <mergeCell ref="AB62:AB97"/>
    <mergeCell ref="L63:L64"/>
    <mergeCell ref="M63:M64"/>
    <mergeCell ref="P63:P64"/>
    <mergeCell ref="S63:S64"/>
    <mergeCell ref="L70:L71"/>
    <mergeCell ref="B62:B97"/>
    <mergeCell ref="P76:P77"/>
    <mergeCell ref="L78:L79"/>
    <mergeCell ref="M78:M79"/>
    <mergeCell ref="P78:P79"/>
    <mergeCell ref="L72:L73"/>
    <mergeCell ref="M72:M73"/>
    <mergeCell ref="P72:P73"/>
    <mergeCell ref="L74:L75"/>
    <mergeCell ref="M74:M75"/>
    <mergeCell ref="P74:P75"/>
    <mergeCell ref="M70:M71"/>
    <mergeCell ref="P70:P71"/>
    <mergeCell ref="L76:L77"/>
    <mergeCell ref="L80:L81"/>
    <mergeCell ref="M80:M81"/>
    <mergeCell ref="P80:P81"/>
    <mergeCell ref="L82:L83"/>
    <mergeCell ref="M82:M83"/>
    <mergeCell ref="S82:S97"/>
    <mergeCell ref="L84:L85"/>
    <mergeCell ref="M84:M85"/>
    <mergeCell ref="L86:L87"/>
    <mergeCell ref="M86:M87"/>
    <mergeCell ref="L94:L95"/>
    <mergeCell ref="M94:M95"/>
    <mergeCell ref="L96:L97"/>
    <mergeCell ref="M96:M97"/>
    <mergeCell ref="L88:L89"/>
    <mergeCell ref="M88:M89"/>
    <mergeCell ref="L90:L91"/>
    <mergeCell ref="M90:M91"/>
    <mergeCell ref="L92:L93"/>
    <mergeCell ref="M92:M93"/>
    <mergeCell ref="M76:M7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7BF6-B7DE-40E3-8589-0588BAE00BE8}">
  <sheetPr>
    <tabColor rgb="FFFFC000"/>
  </sheetPr>
  <dimension ref="B2:BT52"/>
  <sheetViews>
    <sheetView topLeftCell="A4" zoomScale="60" zoomScaleNormal="60" workbookViewId="0">
      <selection activeCell="F9" sqref="F9:G13"/>
    </sheetView>
  </sheetViews>
  <sheetFormatPr defaultColWidth="8.88671875" defaultRowHeight="14.4" x14ac:dyDescent="0.3"/>
  <cols>
    <col min="1" max="1" width="8.88671875" style="1"/>
    <col min="2" max="2" width="34.5546875" style="1" customWidth="1"/>
    <col min="3" max="3" width="31.44140625" style="1" customWidth="1"/>
    <col min="4" max="4" width="29.6640625" style="1" customWidth="1"/>
    <col min="5" max="5" width="34.6640625" style="1" bestFit="1" customWidth="1"/>
    <col min="6" max="6" width="13" style="1" bestFit="1" customWidth="1"/>
    <col min="7" max="7" width="10.33203125" style="1" customWidth="1"/>
    <col min="8" max="8" width="16.88671875" style="1" customWidth="1"/>
    <col min="9" max="9" width="10.33203125" style="1" customWidth="1"/>
    <col min="10" max="10" width="30.6640625" style="1" bestFit="1" customWidth="1"/>
    <col min="11" max="12" width="15.109375" style="1" customWidth="1"/>
    <col min="13" max="13" width="26.33203125" style="1" customWidth="1"/>
    <col min="14" max="14" width="15.109375" style="1" customWidth="1"/>
    <col min="15" max="16" width="25.33203125" style="1" customWidth="1"/>
    <col min="17" max="17" width="27.109375" style="1" customWidth="1"/>
    <col min="18" max="19" width="59.6640625" style="1" customWidth="1"/>
    <col min="20" max="20" width="15.88671875" style="1" bestFit="1" customWidth="1"/>
    <col min="21" max="21" width="16.88671875" style="1" bestFit="1" customWidth="1"/>
    <col min="22" max="22" width="27" style="1" bestFit="1" customWidth="1"/>
    <col min="23" max="23" width="35.88671875" style="1" bestFit="1" customWidth="1"/>
    <col min="24" max="28" width="12.5546875" style="1" customWidth="1"/>
    <col min="29" max="29" width="10.33203125" style="1" bestFit="1" customWidth="1"/>
    <col min="30" max="30" width="10.6640625" style="1" customWidth="1"/>
    <col min="31" max="31" width="18.109375" style="1" customWidth="1"/>
    <col min="32" max="32" width="54.5546875" style="1" customWidth="1"/>
    <col min="33" max="33" width="17.88671875" style="1" customWidth="1"/>
    <col min="34" max="34" width="9.44140625" style="1" customWidth="1"/>
    <col min="35" max="35" width="11" style="1" customWidth="1"/>
    <col min="36" max="36" width="18" style="1" customWidth="1"/>
    <col min="37" max="37" width="14.88671875" style="1" customWidth="1"/>
    <col min="38" max="39" width="8.88671875" style="1"/>
    <col min="40" max="40" width="24" style="1" bestFit="1" customWidth="1"/>
    <col min="41" max="41" width="26.6640625" style="1" bestFit="1" customWidth="1"/>
    <col min="42" max="42" width="18.6640625" style="1" bestFit="1" customWidth="1"/>
    <col min="43" max="43" width="18.6640625" style="1" customWidth="1"/>
    <col min="44" max="45" width="19.88671875" style="1" customWidth="1"/>
    <col min="46" max="46" width="30.6640625" style="1" bestFit="1" customWidth="1"/>
    <col min="47" max="47" width="30.6640625" style="1" customWidth="1"/>
    <col min="48" max="48" width="37.33203125" style="1" bestFit="1" customWidth="1"/>
    <col min="49" max="50" width="37.33203125" style="1" customWidth="1"/>
    <col min="51" max="51" width="31.6640625" style="1" bestFit="1" customWidth="1"/>
    <col min="52" max="52" width="31.6640625" style="1" customWidth="1"/>
    <col min="53" max="53" width="16.109375" style="1" customWidth="1"/>
    <col min="54" max="54" width="15.109375" style="1" bestFit="1" customWidth="1"/>
    <col min="55" max="55" width="28.109375" style="1" bestFit="1" customWidth="1"/>
    <col min="56" max="56" width="17.33203125" style="1" bestFit="1" customWidth="1"/>
    <col min="57" max="57" width="17.44140625" style="1" customWidth="1"/>
    <col min="58" max="65" width="8.88671875" style="1"/>
    <col min="66" max="66" width="81.44140625" style="1" bestFit="1" customWidth="1"/>
    <col min="67" max="16384" width="8.88671875" style="1"/>
  </cols>
  <sheetData>
    <row r="2" spans="2:37" x14ac:dyDescent="0.3">
      <c r="R2" s="1" t="s">
        <v>5</v>
      </c>
      <c r="U2" s="227"/>
      <c r="V2" s="227"/>
      <c r="W2" s="227"/>
      <c r="X2" s="227"/>
      <c r="Y2" s="227"/>
      <c r="Z2" s="227"/>
      <c r="AA2" s="227"/>
      <c r="AB2" s="227"/>
      <c r="AC2" s="227"/>
      <c r="AD2" s="227"/>
    </row>
    <row r="4" spans="2:37" ht="22.95" customHeight="1" x14ac:dyDescent="0.3">
      <c r="B4" s="87"/>
      <c r="C4" s="87"/>
      <c r="D4" s="87"/>
      <c r="E4" s="87"/>
      <c r="J4" s="87"/>
      <c r="K4" s="87"/>
      <c r="L4" s="87"/>
      <c r="M4" s="87"/>
      <c r="N4" s="87"/>
      <c r="O4" s="87"/>
      <c r="P4" s="87"/>
      <c r="Q4" s="87"/>
      <c r="R4" s="228" t="s">
        <v>22</v>
      </c>
      <c r="S4" s="228"/>
      <c r="T4" s="229"/>
      <c r="U4" s="229"/>
      <c r="V4" s="229"/>
      <c r="W4" s="75" t="s">
        <v>992</v>
      </c>
      <c r="X4" s="229" t="s">
        <v>66</v>
      </c>
      <c r="Y4" s="229"/>
      <c r="Z4" s="229"/>
      <c r="AA4" s="229"/>
      <c r="AB4" s="229"/>
      <c r="AC4" s="229"/>
      <c r="AD4" s="229"/>
      <c r="AE4" s="229"/>
      <c r="AF4" s="229"/>
      <c r="AG4" s="229"/>
      <c r="AH4" s="229"/>
      <c r="AI4" s="229"/>
      <c r="AJ4" s="229"/>
      <c r="AK4" s="229"/>
    </row>
    <row r="5" spans="2:37" ht="22.95" customHeight="1" x14ac:dyDescent="0.3">
      <c r="B5" s="236" t="s">
        <v>1119</v>
      </c>
      <c r="C5" s="236"/>
      <c r="D5" s="236"/>
      <c r="E5" s="236"/>
      <c r="F5" s="256" t="s">
        <v>1124</v>
      </c>
      <c r="G5" s="256"/>
      <c r="H5" s="256"/>
      <c r="I5" s="256"/>
      <c r="J5" s="256"/>
      <c r="K5" s="256"/>
      <c r="L5" s="256"/>
      <c r="M5" s="256"/>
      <c r="N5" s="256"/>
      <c r="O5" s="256" t="s">
        <v>23</v>
      </c>
      <c r="P5" s="256"/>
      <c r="Q5" s="256"/>
      <c r="R5" s="256" t="s">
        <v>67</v>
      </c>
      <c r="S5" s="256"/>
      <c r="T5" s="256"/>
      <c r="U5" s="256"/>
      <c r="V5" s="256"/>
      <c r="W5" s="86" t="s">
        <v>1006</v>
      </c>
      <c r="X5" s="236" t="s">
        <v>429</v>
      </c>
      <c r="Y5" s="236"/>
      <c r="Z5" s="236"/>
      <c r="AA5" s="236"/>
      <c r="AB5" s="236"/>
      <c r="AC5" s="236"/>
      <c r="AD5" s="236"/>
      <c r="AE5" s="236"/>
      <c r="AF5" s="236" t="s">
        <v>68</v>
      </c>
      <c r="AG5" s="236"/>
      <c r="AH5" s="236"/>
      <c r="AI5" s="236"/>
      <c r="AJ5" s="236"/>
      <c r="AK5" s="236"/>
    </row>
    <row r="6" spans="2:37" ht="37.200000000000003" customHeight="1" x14ac:dyDescent="0.3">
      <c r="B6" s="236" t="s">
        <v>1126</v>
      </c>
      <c r="C6" s="256" t="s">
        <v>1120</v>
      </c>
      <c r="D6" s="256" t="s">
        <v>1121</v>
      </c>
      <c r="E6" s="256" t="s">
        <v>1122</v>
      </c>
      <c r="F6" s="256" t="s">
        <v>4</v>
      </c>
      <c r="G6" s="256"/>
      <c r="H6" s="256" t="s">
        <v>1123</v>
      </c>
      <c r="I6" s="256"/>
      <c r="J6" s="236" t="s">
        <v>20</v>
      </c>
      <c r="K6" s="256" t="s">
        <v>21</v>
      </c>
      <c r="L6" s="256"/>
      <c r="M6" s="256"/>
      <c r="N6" s="256"/>
      <c r="O6" s="236" t="s">
        <v>69</v>
      </c>
      <c r="P6" s="236"/>
      <c r="Q6" s="236" t="s">
        <v>70</v>
      </c>
      <c r="R6" s="236" t="s">
        <v>71</v>
      </c>
      <c r="S6" s="236" t="s">
        <v>997</v>
      </c>
      <c r="T6" s="236" t="s">
        <v>24</v>
      </c>
      <c r="U6" s="236"/>
      <c r="V6" s="236"/>
      <c r="W6" s="236" t="s">
        <v>1091</v>
      </c>
      <c r="X6" s="236"/>
      <c r="Y6" s="236"/>
      <c r="Z6" s="236"/>
      <c r="AA6" s="236"/>
      <c r="AB6" s="236"/>
      <c r="AC6" s="236"/>
      <c r="AD6" s="236"/>
      <c r="AE6" s="236"/>
      <c r="AF6" s="236"/>
      <c r="AG6" s="236"/>
      <c r="AH6" s="236"/>
      <c r="AI6" s="236"/>
      <c r="AJ6" s="236"/>
      <c r="AK6" s="236"/>
    </row>
    <row r="7" spans="2:37" ht="37.200000000000003" customHeight="1" x14ac:dyDescent="0.3">
      <c r="B7" s="236"/>
      <c r="C7" s="256"/>
      <c r="D7" s="256"/>
      <c r="E7" s="256"/>
      <c r="F7" s="256"/>
      <c r="G7" s="256"/>
      <c r="H7" s="256"/>
      <c r="I7" s="256"/>
      <c r="J7" s="236"/>
      <c r="K7" s="236" t="s">
        <v>72</v>
      </c>
      <c r="L7" s="236"/>
      <c r="M7" s="257" t="s">
        <v>73</v>
      </c>
      <c r="N7" s="236" t="s">
        <v>74</v>
      </c>
      <c r="O7" s="236" t="s">
        <v>1088</v>
      </c>
      <c r="P7" s="236" t="s">
        <v>1087</v>
      </c>
      <c r="Q7" s="236"/>
      <c r="R7" s="236"/>
      <c r="S7" s="236"/>
      <c r="T7" s="236" t="s">
        <v>1046</v>
      </c>
      <c r="U7" s="236"/>
      <c r="V7" s="256" t="s">
        <v>14</v>
      </c>
      <c r="W7" s="236"/>
      <c r="X7" s="257" t="s">
        <v>17</v>
      </c>
      <c r="Y7" s="257"/>
      <c r="Z7" s="257" t="s">
        <v>18</v>
      </c>
      <c r="AA7" s="257"/>
      <c r="AB7" s="257" t="s">
        <v>19</v>
      </c>
      <c r="AC7" s="257"/>
      <c r="AD7" s="257" t="s">
        <v>667</v>
      </c>
      <c r="AE7" s="257"/>
      <c r="AF7" s="153" t="s">
        <v>174</v>
      </c>
      <c r="AG7" s="257" t="s">
        <v>175</v>
      </c>
      <c r="AH7" s="257"/>
      <c r="AI7" s="257"/>
      <c r="AJ7" s="257" t="s">
        <v>176</v>
      </c>
      <c r="AK7" s="257"/>
    </row>
    <row r="8" spans="2:37" x14ac:dyDescent="0.3">
      <c r="B8" s="236"/>
      <c r="C8" s="256"/>
      <c r="D8" s="256"/>
      <c r="E8" s="256"/>
      <c r="F8" s="256"/>
      <c r="G8" s="256"/>
      <c r="H8" s="256"/>
      <c r="I8" s="256"/>
      <c r="J8" s="236"/>
      <c r="K8" s="86" t="s">
        <v>1059</v>
      </c>
      <c r="L8" s="89" t="s">
        <v>1057</v>
      </c>
      <c r="M8" s="257"/>
      <c r="N8" s="236"/>
      <c r="O8" s="236"/>
      <c r="P8" s="236"/>
      <c r="Q8" s="236"/>
      <c r="R8" s="236"/>
      <c r="S8" s="236"/>
      <c r="T8" s="89" t="s">
        <v>15</v>
      </c>
      <c r="U8" s="89" t="s">
        <v>16</v>
      </c>
      <c r="V8" s="256"/>
      <c r="W8" s="236"/>
      <c r="X8" s="86" t="s">
        <v>2</v>
      </c>
      <c r="Y8" s="86" t="s">
        <v>3</v>
      </c>
      <c r="Z8" s="86" t="s">
        <v>2</v>
      </c>
      <c r="AA8" s="86" t="s">
        <v>3</v>
      </c>
      <c r="AB8" s="86" t="s">
        <v>2</v>
      </c>
      <c r="AC8" s="86" t="s">
        <v>3</v>
      </c>
      <c r="AD8" s="86" t="s">
        <v>2</v>
      </c>
      <c r="AE8" s="86" t="s">
        <v>3</v>
      </c>
      <c r="AF8" s="86" t="s">
        <v>179</v>
      </c>
      <c r="AG8" s="86" t="s">
        <v>177</v>
      </c>
      <c r="AH8" s="86" t="s">
        <v>178</v>
      </c>
      <c r="AI8" s="86" t="s">
        <v>1057</v>
      </c>
      <c r="AJ8" s="86" t="s">
        <v>177</v>
      </c>
      <c r="AK8" s="86" t="s">
        <v>178</v>
      </c>
    </row>
    <row r="9" spans="2:37" ht="14.4" customHeight="1" x14ac:dyDescent="0.3">
      <c r="B9" s="663">
        <v>4.8</v>
      </c>
      <c r="C9" s="663" t="s">
        <v>1132</v>
      </c>
      <c r="D9" s="663" t="s">
        <v>1131</v>
      </c>
      <c r="E9" s="663" t="s">
        <v>1133</v>
      </c>
      <c r="F9" s="381" t="s">
        <v>1193</v>
      </c>
      <c r="G9" s="381"/>
      <c r="H9" s="307" t="s">
        <v>1195</v>
      </c>
      <c r="I9" s="307"/>
      <c r="J9" s="307"/>
      <c r="K9" s="307"/>
      <c r="L9" s="307"/>
      <c r="M9" s="307"/>
      <c r="N9" s="307"/>
      <c r="O9" s="307"/>
      <c r="P9" s="307"/>
      <c r="Q9" s="307"/>
      <c r="R9" s="307"/>
      <c r="S9" s="307" t="s">
        <v>1196</v>
      </c>
      <c r="T9" s="307"/>
      <c r="U9" s="307"/>
      <c r="V9" s="307"/>
      <c r="W9" s="307"/>
      <c r="X9" s="307"/>
      <c r="Y9" s="307"/>
      <c r="Z9" s="307"/>
      <c r="AA9" s="307"/>
      <c r="AB9" s="307"/>
      <c r="AC9" s="307"/>
      <c r="AD9" s="307"/>
      <c r="AE9" s="307"/>
      <c r="AF9" s="307"/>
      <c r="AG9" s="307"/>
      <c r="AH9" s="307"/>
      <c r="AI9" s="307"/>
      <c r="AJ9" s="307"/>
      <c r="AK9" s="307"/>
    </row>
    <row r="10" spans="2:37" x14ac:dyDescent="0.3">
      <c r="B10" s="663"/>
      <c r="C10" s="663"/>
      <c r="D10" s="663"/>
      <c r="E10" s="663"/>
      <c r="F10" s="381"/>
      <c r="G10" s="381"/>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307"/>
      <c r="AI10" s="307"/>
      <c r="AJ10" s="307"/>
      <c r="AK10" s="307"/>
    </row>
    <row r="11" spans="2:37" x14ac:dyDescent="0.3">
      <c r="B11" s="663"/>
      <c r="C11" s="663"/>
      <c r="D11" s="663"/>
      <c r="E11" s="663"/>
      <c r="F11" s="381"/>
      <c r="G11" s="381"/>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307"/>
      <c r="AI11" s="307"/>
      <c r="AJ11" s="307"/>
      <c r="AK11" s="307"/>
    </row>
    <row r="12" spans="2:37" x14ac:dyDescent="0.3">
      <c r="B12" s="663"/>
      <c r="C12" s="663"/>
      <c r="D12" s="663"/>
      <c r="E12" s="663"/>
      <c r="F12" s="381"/>
      <c r="G12" s="381"/>
      <c r="H12" s="307"/>
      <c r="I12" s="307"/>
      <c r="J12" s="307"/>
      <c r="K12" s="307"/>
      <c r="L12" s="307"/>
      <c r="M12" s="307"/>
      <c r="N12" s="307"/>
      <c r="O12" s="307"/>
      <c r="P12" s="307"/>
      <c r="Q12" s="307"/>
      <c r="R12" s="307"/>
      <c r="S12" s="307"/>
      <c r="T12" s="307"/>
      <c r="U12" s="307"/>
      <c r="V12" s="307"/>
      <c r="W12" s="307"/>
      <c r="X12" s="307"/>
      <c r="Y12" s="307"/>
      <c r="Z12" s="307"/>
      <c r="AA12" s="307"/>
      <c r="AB12" s="307"/>
      <c r="AC12" s="307"/>
      <c r="AD12" s="307"/>
      <c r="AE12" s="307"/>
      <c r="AF12" s="307"/>
      <c r="AG12" s="307"/>
      <c r="AH12" s="307"/>
      <c r="AI12" s="307"/>
      <c r="AJ12" s="307"/>
      <c r="AK12" s="307"/>
    </row>
    <row r="13" spans="2:37" x14ac:dyDescent="0.3">
      <c r="B13" s="663"/>
      <c r="C13" s="663"/>
      <c r="D13" s="663"/>
      <c r="E13" s="663"/>
      <c r="F13" s="381"/>
      <c r="G13" s="381"/>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307"/>
      <c r="AI13" s="307"/>
      <c r="AJ13" s="307"/>
      <c r="AK13" s="307"/>
    </row>
    <row r="14" spans="2:37" ht="14.4" customHeight="1" x14ac:dyDescent="0.3">
      <c r="B14" s="663"/>
      <c r="C14" s="663"/>
      <c r="D14" s="663"/>
      <c r="E14" s="663"/>
      <c r="F14" s="381" t="s">
        <v>792</v>
      </c>
      <c r="G14" s="381"/>
      <c r="H14" s="307" t="s">
        <v>1197</v>
      </c>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row>
    <row r="15" spans="2:37" x14ac:dyDescent="0.3">
      <c r="B15" s="663"/>
      <c r="C15" s="663"/>
      <c r="D15" s="663"/>
      <c r="E15" s="663"/>
      <c r="F15" s="381"/>
      <c r="G15" s="381"/>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row>
    <row r="16" spans="2:37" x14ac:dyDescent="0.3">
      <c r="B16" s="663"/>
      <c r="C16" s="663"/>
      <c r="D16" s="663"/>
      <c r="E16" s="663"/>
      <c r="F16" s="381"/>
      <c r="G16" s="381"/>
      <c r="H16" s="307"/>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7"/>
      <c r="AG16" s="307"/>
      <c r="AH16" s="307"/>
      <c r="AI16" s="307"/>
      <c r="AJ16" s="307"/>
      <c r="AK16" s="307"/>
    </row>
    <row r="17" spans="2:72" x14ac:dyDescent="0.3">
      <c r="B17" s="663"/>
      <c r="C17" s="663"/>
      <c r="D17" s="663"/>
      <c r="E17" s="663"/>
      <c r="F17" s="381"/>
      <c r="G17" s="381"/>
      <c r="H17" s="307"/>
      <c r="I17" s="307"/>
      <c r="J17" s="307"/>
      <c r="K17" s="307"/>
      <c r="L17" s="307"/>
      <c r="M17" s="307"/>
      <c r="N17" s="307"/>
      <c r="O17" s="307"/>
      <c r="P17" s="307"/>
      <c r="Q17" s="307"/>
      <c r="R17" s="307"/>
      <c r="S17" s="307"/>
      <c r="T17" s="307"/>
      <c r="U17" s="307"/>
      <c r="V17" s="307"/>
      <c r="W17" s="307"/>
      <c r="X17" s="307"/>
      <c r="Y17" s="307"/>
      <c r="Z17" s="307"/>
      <c r="AA17" s="307"/>
      <c r="AB17" s="307"/>
      <c r="AC17" s="307"/>
      <c r="AD17" s="307"/>
      <c r="AE17" s="307"/>
      <c r="AF17" s="307"/>
      <c r="AG17" s="307"/>
      <c r="AH17" s="307"/>
      <c r="AI17" s="307"/>
      <c r="AJ17" s="307"/>
      <c r="AK17" s="307"/>
    </row>
    <row r="18" spans="2:72" x14ac:dyDescent="0.3">
      <c r="B18" s="663"/>
      <c r="C18" s="663"/>
      <c r="D18" s="663"/>
      <c r="E18" s="663"/>
      <c r="F18" s="381"/>
      <c r="G18" s="381"/>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7"/>
      <c r="AG18" s="307"/>
      <c r="AH18" s="307"/>
      <c r="AI18" s="307"/>
      <c r="AJ18" s="307"/>
      <c r="AK18" s="307"/>
    </row>
    <row r="20" spans="2:72" x14ac:dyDescent="0.3">
      <c r="AT20" s="227"/>
      <c r="AU20" s="227"/>
      <c r="AV20" s="227"/>
      <c r="AW20" s="227"/>
      <c r="AX20" s="227"/>
      <c r="AY20" s="227"/>
      <c r="AZ20" s="227"/>
    </row>
    <row r="21" spans="2:72" x14ac:dyDescent="0.3">
      <c r="AT21" s="260"/>
      <c r="AU21" s="260"/>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row>
    <row r="22" spans="2:72" x14ac:dyDescent="0.3">
      <c r="AV22" s="262" t="s">
        <v>1085</v>
      </c>
      <c r="AW22" s="263"/>
      <c r="AX22" s="263"/>
      <c r="AY22" s="263"/>
      <c r="AZ22" s="263"/>
      <c r="BA22" s="263"/>
      <c r="BB22" s="263"/>
      <c r="BC22" s="263"/>
      <c r="BD22" s="264" t="s">
        <v>22</v>
      </c>
      <c r="BE22" s="264"/>
      <c r="BF22" s="264"/>
      <c r="BG22" s="264"/>
      <c r="BH22" s="264"/>
      <c r="BI22" s="264"/>
      <c r="BJ22" s="76" t="s">
        <v>992</v>
      </c>
      <c r="BK22" s="265" t="s">
        <v>66</v>
      </c>
      <c r="BL22" s="265"/>
      <c r="BM22" s="265"/>
      <c r="BN22" s="265"/>
      <c r="BO22" s="265"/>
      <c r="BP22" s="265"/>
      <c r="BQ22" s="265"/>
      <c r="BR22" s="265"/>
      <c r="BS22" s="265"/>
      <c r="BT22" s="265"/>
    </row>
    <row r="23" spans="2:72" x14ac:dyDescent="0.3">
      <c r="AT23" s="274" t="s">
        <v>4</v>
      </c>
      <c r="AU23" s="274"/>
      <c r="AV23" s="280" t="s">
        <v>1005</v>
      </c>
      <c r="AW23" s="280"/>
      <c r="AX23" s="280"/>
      <c r="AY23" s="280"/>
      <c r="AZ23" s="237" t="s">
        <v>23</v>
      </c>
      <c r="BA23" s="238"/>
      <c r="BB23" s="238"/>
      <c r="BC23" s="239"/>
      <c r="BD23" s="240" t="s">
        <v>67</v>
      </c>
      <c r="BE23" s="241"/>
      <c r="BF23" s="241"/>
      <c r="BG23" s="241"/>
      <c r="BH23" s="241"/>
      <c r="BI23" s="242"/>
      <c r="BJ23" s="77" t="s">
        <v>1004</v>
      </c>
      <c r="BK23" s="243" t="s">
        <v>1025</v>
      </c>
      <c r="BL23" s="243"/>
      <c r="BM23" s="243"/>
      <c r="BN23" s="243"/>
      <c r="BO23" s="243"/>
      <c r="BP23" s="243"/>
      <c r="BQ23" s="243"/>
      <c r="BR23" s="243"/>
      <c r="BS23" s="243"/>
      <c r="BT23" s="243" t="s">
        <v>68</v>
      </c>
    </row>
    <row r="24" spans="2:72" x14ac:dyDescent="0.3">
      <c r="AT24" s="275"/>
      <c r="AU24" s="275"/>
      <c r="AV24" s="280" t="s">
        <v>1017</v>
      </c>
      <c r="AW24" s="280"/>
      <c r="AX24" s="280"/>
      <c r="AY24" s="280"/>
      <c r="AZ24" s="296" t="s">
        <v>69</v>
      </c>
      <c r="BA24" s="296" t="s">
        <v>1013</v>
      </c>
      <c r="BB24" s="296"/>
      <c r="BC24" s="296"/>
      <c r="BD24" s="246" t="s">
        <v>71</v>
      </c>
      <c r="BE24" s="246"/>
      <c r="BF24" s="246" t="s">
        <v>997</v>
      </c>
      <c r="BG24" s="246"/>
      <c r="BH24" s="246" t="s">
        <v>24</v>
      </c>
      <c r="BI24" s="246"/>
      <c r="BJ24" s="247" t="s">
        <v>1091</v>
      </c>
      <c r="BK24" s="243"/>
      <c r="BL24" s="243"/>
      <c r="BM24" s="243"/>
      <c r="BN24" s="243"/>
      <c r="BO24" s="243"/>
      <c r="BP24" s="243"/>
      <c r="BQ24" s="243"/>
      <c r="BR24" s="243"/>
      <c r="BS24" s="243"/>
      <c r="BT24" s="243"/>
    </row>
    <row r="25" spans="2:72" x14ac:dyDescent="0.3">
      <c r="AT25" s="275"/>
      <c r="AU25" s="275"/>
      <c r="AV25" s="280"/>
      <c r="AW25" s="280"/>
      <c r="AX25" s="280"/>
      <c r="AY25" s="280"/>
      <c r="AZ25" s="296"/>
      <c r="BA25" s="296"/>
      <c r="BB25" s="296"/>
      <c r="BC25" s="296"/>
      <c r="BD25" s="246"/>
      <c r="BE25" s="246"/>
      <c r="BF25" s="246"/>
      <c r="BG25" s="246"/>
      <c r="BH25" s="246"/>
      <c r="BI25" s="246"/>
      <c r="BJ25" s="247"/>
      <c r="BK25" s="248" t="s">
        <v>1027</v>
      </c>
      <c r="BL25" s="244" t="s">
        <v>17</v>
      </c>
      <c r="BM25" s="244"/>
      <c r="BN25" s="244" t="s">
        <v>18</v>
      </c>
      <c r="BO25" s="244"/>
      <c r="BP25" s="244" t="s">
        <v>19</v>
      </c>
      <c r="BQ25" s="244"/>
      <c r="BR25" s="244" t="s">
        <v>667</v>
      </c>
      <c r="BS25" s="244"/>
      <c r="BT25" s="243"/>
    </row>
    <row r="26" spans="2:72" ht="28.8" x14ac:dyDescent="0.3">
      <c r="AT26" s="275"/>
      <c r="AU26" s="275"/>
      <c r="AV26" s="65" t="s">
        <v>1016</v>
      </c>
      <c r="AW26" s="65" t="s">
        <v>1074</v>
      </c>
      <c r="AX26" s="66" t="s">
        <v>73</v>
      </c>
      <c r="AY26" s="67" t="s">
        <v>1019</v>
      </c>
      <c r="AZ26" s="65" t="s">
        <v>1026</v>
      </c>
      <c r="BA26" s="65" t="s">
        <v>1036</v>
      </c>
      <c r="BB26" s="65" t="s">
        <v>1021</v>
      </c>
      <c r="BC26" s="65" t="s">
        <v>1022</v>
      </c>
      <c r="BD26" s="246"/>
      <c r="BE26" s="246"/>
      <c r="BF26" s="69" t="s">
        <v>1071</v>
      </c>
      <c r="BG26" s="69" t="s">
        <v>1072</v>
      </c>
      <c r="BH26" s="62" t="s">
        <v>1035</v>
      </c>
      <c r="BI26" s="62" t="s">
        <v>1014</v>
      </c>
      <c r="BJ26" s="247"/>
      <c r="BK26" s="248"/>
      <c r="BL26" s="72" t="s">
        <v>1023</v>
      </c>
      <c r="BM26" s="72" t="s">
        <v>1024</v>
      </c>
      <c r="BN26" s="72" t="s">
        <v>1023</v>
      </c>
      <c r="BO26" s="72" t="s">
        <v>1024</v>
      </c>
      <c r="BP26" s="72" t="s">
        <v>1023</v>
      </c>
      <c r="BQ26" s="72" t="s">
        <v>1024</v>
      </c>
      <c r="BR26" s="72" t="s">
        <v>1023</v>
      </c>
      <c r="BS26" s="72" t="s">
        <v>1024</v>
      </c>
      <c r="BT26" s="74" t="s">
        <v>1048</v>
      </c>
    </row>
    <row r="27" spans="2:72" ht="57.6" x14ac:dyDescent="0.3">
      <c r="AT27" s="307" t="s">
        <v>1063</v>
      </c>
      <c r="AU27" s="307" t="s">
        <v>923</v>
      </c>
      <c r="AV27" s="245">
        <v>32</v>
      </c>
      <c r="AW27" s="245" t="s">
        <v>1064</v>
      </c>
      <c r="AX27" s="306" t="s">
        <v>1018</v>
      </c>
      <c r="AY27" s="245" t="s">
        <v>1065</v>
      </c>
      <c r="AZ27" s="66">
        <v>3</v>
      </c>
      <c r="BA27" s="245" t="s">
        <v>1073</v>
      </c>
      <c r="BB27" s="245">
        <v>3</v>
      </c>
      <c r="BC27" s="245">
        <v>1</v>
      </c>
      <c r="BD27" s="271">
        <v>2</v>
      </c>
      <c r="BE27" s="3" t="s">
        <v>1012</v>
      </c>
      <c r="BF27" s="271" t="s">
        <v>1047</v>
      </c>
      <c r="BG27" s="3">
        <v>1</v>
      </c>
      <c r="BH27" s="271" t="s">
        <v>1061</v>
      </c>
      <c r="BI27" s="3">
        <v>1</v>
      </c>
      <c r="BJ27" s="70">
        <v>13</v>
      </c>
      <c r="BK27" s="74" t="s">
        <v>1028</v>
      </c>
      <c r="BL27" s="73"/>
      <c r="BM27" s="73"/>
      <c r="BN27" s="73"/>
      <c r="BO27" s="73"/>
      <c r="BP27" s="73"/>
      <c r="BQ27" s="73"/>
      <c r="BR27" s="73" t="s">
        <v>150</v>
      </c>
      <c r="BS27" s="71" t="s">
        <v>687</v>
      </c>
      <c r="BT27" s="73">
        <v>0</v>
      </c>
    </row>
    <row r="28" spans="2:72" ht="57.6" x14ac:dyDescent="0.3">
      <c r="AT28" s="307"/>
      <c r="AU28" s="307"/>
      <c r="AV28" s="245"/>
      <c r="AW28" s="245"/>
      <c r="AX28" s="306"/>
      <c r="AY28" s="245"/>
      <c r="AZ28" s="66">
        <v>6</v>
      </c>
      <c r="BA28" s="245"/>
      <c r="BB28" s="245"/>
      <c r="BC28" s="245"/>
      <c r="BD28" s="271"/>
      <c r="BE28" s="3" t="s">
        <v>1015</v>
      </c>
      <c r="BF28" s="271"/>
      <c r="BG28" s="3">
        <v>1</v>
      </c>
      <c r="BH28" s="271"/>
      <c r="BI28" s="3">
        <v>1</v>
      </c>
      <c r="BJ28" s="70">
        <v>13</v>
      </c>
      <c r="BK28" s="74" t="s">
        <v>1028</v>
      </c>
      <c r="BL28" s="73"/>
      <c r="BM28" s="73"/>
      <c r="BN28" s="73"/>
      <c r="BO28" s="73"/>
      <c r="BP28" s="73"/>
      <c r="BQ28" s="73"/>
      <c r="BR28" s="73"/>
      <c r="BS28" s="73"/>
      <c r="BT28" s="73">
        <v>3</v>
      </c>
    </row>
    <row r="29" spans="2:72" ht="57.6" x14ac:dyDescent="0.3">
      <c r="AT29" s="307"/>
      <c r="AU29" s="2" t="s">
        <v>924</v>
      </c>
      <c r="AV29" s="66">
        <v>23</v>
      </c>
      <c r="AW29" s="66" t="s">
        <v>1064</v>
      </c>
      <c r="AX29" s="67" t="s">
        <v>1018</v>
      </c>
      <c r="AY29" s="66" t="s">
        <v>1066</v>
      </c>
      <c r="AZ29" s="66">
        <v>3</v>
      </c>
      <c r="BA29" s="66" t="s">
        <v>1075</v>
      </c>
      <c r="BB29" s="66">
        <v>9</v>
      </c>
      <c r="BC29" s="66">
        <v>1</v>
      </c>
      <c r="BD29" s="3">
        <v>1</v>
      </c>
      <c r="BE29" s="3" t="s">
        <v>1015</v>
      </c>
      <c r="BF29" s="3" t="s">
        <v>1047</v>
      </c>
      <c r="BG29" s="3">
        <v>1</v>
      </c>
      <c r="BH29" s="3" t="s">
        <v>1062</v>
      </c>
      <c r="BI29" s="3">
        <v>1</v>
      </c>
      <c r="BJ29" s="70">
        <v>13</v>
      </c>
      <c r="BK29" s="74" t="s">
        <v>1028</v>
      </c>
      <c r="BL29" s="73"/>
      <c r="BM29" s="73"/>
      <c r="BN29" s="73"/>
      <c r="BO29" s="73"/>
      <c r="BP29" s="73"/>
      <c r="BQ29" s="73"/>
      <c r="BR29" s="73"/>
      <c r="BS29" s="73"/>
      <c r="BT29" s="73">
        <v>3</v>
      </c>
    </row>
    <row r="30" spans="2:72" ht="57.6" x14ac:dyDescent="0.3">
      <c r="AT30" s="307" t="s">
        <v>1067</v>
      </c>
      <c r="AU30" s="307"/>
      <c r="AV30" s="66"/>
      <c r="AW30" s="66" t="s">
        <v>1069</v>
      </c>
      <c r="AX30" s="67" t="s">
        <v>1018</v>
      </c>
      <c r="AY30" s="66" t="s">
        <v>1083</v>
      </c>
      <c r="AZ30" s="66">
        <v>2</v>
      </c>
      <c r="BA30" s="66" t="s">
        <v>1073</v>
      </c>
      <c r="BB30" s="66">
        <v>3</v>
      </c>
      <c r="BC30" s="66">
        <v>1</v>
      </c>
      <c r="BD30" s="3">
        <v>1</v>
      </c>
      <c r="BE30" s="3" t="s">
        <v>1012</v>
      </c>
      <c r="BF30" s="3" t="s">
        <v>1047</v>
      </c>
      <c r="BG30" s="3">
        <v>2</v>
      </c>
      <c r="BH30" s="3" t="s">
        <v>1070</v>
      </c>
      <c r="BI30" s="3">
        <v>1</v>
      </c>
      <c r="BJ30" s="70">
        <v>13</v>
      </c>
      <c r="BK30" s="74" t="s">
        <v>1028</v>
      </c>
      <c r="BL30" s="73"/>
      <c r="BM30" s="73"/>
      <c r="BN30" s="73"/>
      <c r="BO30" s="73"/>
      <c r="BP30" s="73"/>
      <c r="BQ30" s="73"/>
      <c r="BR30" s="71" t="s">
        <v>830</v>
      </c>
      <c r="BS30" s="71" t="s">
        <v>832</v>
      </c>
      <c r="BT30" s="73">
        <v>0</v>
      </c>
    </row>
    <row r="31" spans="2:72" ht="57.6" x14ac:dyDescent="0.3">
      <c r="AT31" s="307" t="s">
        <v>1079</v>
      </c>
      <c r="AU31" s="307" t="s">
        <v>923</v>
      </c>
      <c r="AV31" s="245">
        <v>19</v>
      </c>
      <c r="AW31" s="245" t="s">
        <v>1077</v>
      </c>
      <c r="AX31" s="306" t="s">
        <v>1018</v>
      </c>
      <c r="AY31" s="245" t="s">
        <v>1082</v>
      </c>
      <c r="AZ31" s="66">
        <v>3</v>
      </c>
      <c r="BA31" s="245" t="s">
        <v>1076</v>
      </c>
      <c r="BB31" s="245">
        <v>3</v>
      </c>
      <c r="BC31" s="245">
        <v>1</v>
      </c>
      <c r="BD31" s="271">
        <v>2</v>
      </c>
      <c r="BE31" s="3" t="s">
        <v>1012</v>
      </c>
      <c r="BF31" s="3" t="s">
        <v>1047</v>
      </c>
      <c r="BG31" s="3">
        <v>1</v>
      </c>
      <c r="BH31" s="3" t="s">
        <v>1061</v>
      </c>
      <c r="BI31" s="3">
        <v>1</v>
      </c>
      <c r="BJ31" s="70">
        <v>13</v>
      </c>
      <c r="BK31" s="74" t="s">
        <v>1028</v>
      </c>
      <c r="BL31" s="73"/>
      <c r="BM31" s="73"/>
      <c r="BN31" s="73"/>
      <c r="BO31" s="73"/>
      <c r="BP31" s="73"/>
      <c r="BQ31" s="73"/>
      <c r="BR31" s="73"/>
      <c r="BS31" s="73"/>
      <c r="BT31" s="73">
        <v>0</v>
      </c>
    </row>
    <row r="32" spans="2:72" ht="57.6" x14ac:dyDescent="0.3">
      <c r="AT32" s="307"/>
      <c r="AU32" s="307"/>
      <c r="AV32" s="245"/>
      <c r="AW32" s="245"/>
      <c r="AX32" s="306"/>
      <c r="AY32" s="245"/>
      <c r="AZ32" s="66">
        <v>6</v>
      </c>
      <c r="BA32" s="245"/>
      <c r="BB32" s="245"/>
      <c r="BC32" s="245"/>
      <c r="BD32" s="271"/>
      <c r="BE32" s="3" t="s">
        <v>1015</v>
      </c>
      <c r="BF32" s="3" t="s">
        <v>1047</v>
      </c>
      <c r="BG32" s="3">
        <v>1</v>
      </c>
      <c r="BH32" s="3" t="s">
        <v>1062</v>
      </c>
      <c r="BI32" s="3">
        <v>1</v>
      </c>
      <c r="BJ32" s="70">
        <v>13</v>
      </c>
      <c r="BK32" s="74" t="s">
        <v>1028</v>
      </c>
      <c r="BL32" s="244" t="s">
        <v>1081</v>
      </c>
      <c r="BM32" s="244"/>
      <c r="BN32" s="244"/>
      <c r="BO32" s="244"/>
      <c r="BP32" s="244"/>
      <c r="BQ32" s="244"/>
      <c r="BR32" s="244"/>
      <c r="BS32" s="244"/>
      <c r="BT32" s="73">
        <v>3</v>
      </c>
    </row>
    <row r="33" spans="40:72" ht="57.6" x14ac:dyDescent="0.3">
      <c r="AT33" s="307"/>
      <c r="AU33" s="2" t="s">
        <v>1080</v>
      </c>
      <c r="AV33" s="66">
        <v>1</v>
      </c>
      <c r="AW33" s="66" t="s">
        <v>1077</v>
      </c>
      <c r="AX33" s="306" t="s">
        <v>1018</v>
      </c>
      <c r="AY33" s="68">
        <v>46023</v>
      </c>
      <c r="AZ33" s="66">
        <v>3</v>
      </c>
      <c r="BA33" s="66" t="s">
        <v>1076</v>
      </c>
      <c r="BB33" s="66">
        <v>3</v>
      </c>
      <c r="BC33" s="66">
        <v>1</v>
      </c>
      <c r="BD33" s="3">
        <v>1</v>
      </c>
      <c r="BE33" s="3" t="s">
        <v>1012</v>
      </c>
      <c r="BF33" s="3" t="s">
        <v>1047</v>
      </c>
      <c r="BG33" s="3">
        <v>1</v>
      </c>
      <c r="BH33" s="3" t="s">
        <v>1070</v>
      </c>
      <c r="BI33" s="3">
        <v>1</v>
      </c>
      <c r="BJ33" s="70">
        <v>13</v>
      </c>
      <c r="BK33" s="74" t="s">
        <v>1028</v>
      </c>
      <c r="BL33" s="73"/>
      <c r="BM33" s="73"/>
      <c r="BN33" s="73"/>
      <c r="BO33" s="73"/>
      <c r="BP33" s="73"/>
      <c r="BQ33" s="73"/>
      <c r="BR33" s="73" t="s">
        <v>889</v>
      </c>
      <c r="BS33" s="71" t="s">
        <v>888</v>
      </c>
      <c r="BT33" s="73">
        <v>0</v>
      </c>
    </row>
    <row r="34" spans="40:72" ht="57.6" x14ac:dyDescent="0.3">
      <c r="AT34" s="307"/>
      <c r="AU34" s="2" t="s">
        <v>924</v>
      </c>
      <c r="AV34" s="66">
        <v>45</v>
      </c>
      <c r="AW34" s="66" t="s">
        <v>1077</v>
      </c>
      <c r="AX34" s="306"/>
      <c r="AY34" s="66" t="s">
        <v>1084</v>
      </c>
      <c r="AZ34" s="66">
        <v>6</v>
      </c>
      <c r="BA34" s="66" t="s">
        <v>1076</v>
      </c>
      <c r="BB34" s="66">
        <v>9</v>
      </c>
      <c r="BC34" s="66">
        <v>1</v>
      </c>
      <c r="BD34" s="3">
        <v>1</v>
      </c>
      <c r="BE34" s="3" t="s">
        <v>1015</v>
      </c>
      <c r="BF34" s="3" t="s">
        <v>1047</v>
      </c>
      <c r="BG34" s="3">
        <v>1</v>
      </c>
      <c r="BH34" s="3" t="s">
        <v>1062</v>
      </c>
      <c r="BI34" s="3">
        <v>1</v>
      </c>
      <c r="BJ34" s="70">
        <v>13</v>
      </c>
      <c r="BK34" s="74" t="s">
        <v>1028</v>
      </c>
      <c r="BL34" s="73"/>
      <c r="BM34" s="73"/>
      <c r="BN34" s="73"/>
      <c r="BO34" s="73"/>
      <c r="BP34" s="73"/>
      <c r="BQ34" s="73"/>
      <c r="BR34" s="73"/>
      <c r="BS34" s="73"/>
      <c r="BT34" s="73">
        <v>3</v>
      </c>
    </row>
    <row r="38" spans="40:72" x14ac:dyDescent="0.3">
      <c r="AN38" s="227"/>
      <c r="AO38" s="227"/>
      <c r="AP38" s="227"/>
      <c r="AQ38" s="227"/>
      <c r="AR38" s="227"/>
      <c r="AS38" s="227"/>
      <c r="AT38" s="227"/>
    </row>
    <row r="39" spans="40:72" x14ac:dyDescent="0.3">
      <c r="AN39" s="260"/>
      <c r="AO39" s="260"/>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row>
    <row r="40" spans="40:72" x14ac:dyDescent="0.3">
      <c r="AP40" s="262" t="s">
        <v>1085</v>
      </c>
      <c r="AQ40" s="263"/>
      <c r="AR40" s="263"/>
      <c r="AS40" s="263"/>
      <c r="AT40" s="263"/>
      <c r="AU40" s="263"/>
      <c r="AV40" s="263"/>
      <c r="AW40" s="263"/>
      <c r="AX40" s="264" t="s">
        <v>22</v>
      </c>
      <c r="AY40" s="264"/>
      <c r="AZ40" s="264"/>
      <c r="BA40" s="264"/>
      <c r="BB40" s="264"/>
      <c r="BC40" s="264"/>
      <c r="BD40" s="76" t="s">
        <v>992</v>
      </c>
      <c r="BE40" s="265" t="s">
        <v>66</v>
      </c>
      <c r="BF40" s="265"/>
      <c r="BG40" s="265"/>
      <c r="BH40" s="265"/>
      <c r="BI40" s="265"/>
      <c r="BJ40" s="265"/>
      <c r="BK40" s="265"/>
      <c r="BL40" s="265"/>
      <c r="BM40" s="265"/>
      <c r="BN40" s="265"/>
    </row>
    <row r="41" spans="40:72" x14ac:dyDescent="0.3">
      <c r="AN41" s="274" t="s">
        <v>4</v>
      </c>
      <c r="AO41" s="274"/>
      <c r="AP41" s="280" t="s">
        <v>1005</v>
      </c>
      <c r="AQ41" s="280"/>
      <c r="AR41" s="280"/>
      <c r="AS41" s="280"/>
      <c r="AT41" s="237" t="s">
        <v>23</v>
      </c>
      <c r="AU41" s="238"/>
      <c r="AV41" s="238"/>
      <c r="AW41" s="239"/>
      <c r="AX41" s="240" t="s">
        <v>67</v>
      </c>
      <c r="AY41" s="241"/>
      <c r="AZ41" s="241"/>
      <c r="BA41" s="241"/>
      <c r="BB41" s="241"/>
      <c r="BC41" s="242"/>
      <c r="BD41" s="77" t="s">
        <v>1004</v>
      </c>
      <c r="BE41" s="243" t="s">
        <v>1025</v>
      </c>
      <c r="BF41" s="243"/>
      <c r="BG41" s="243"/>
      <c r="BH41" s="243"/>
      <c r="BI41" s="243"/>
      <c r="BJ41" s="243"/>
      <c r="BK41" s="243"/>
      <c r="BL41" s="243"/>
      <c r="BM41" s="243"/>
      <c r="BN41" s="243" t="s">
        <v>68</v>
      </c>
    </row>
    <row r="42" spans="40:72" x14ac:dyDescent="0.3">
      <c r="AN42" s="275"/>
      <c r="AO42" s="275"/>
      <c r="AP42" s="280" t="s">
        <v>1017</v>
      </c>
      <c r="AQ42" s="280"/>
      <c r="AR42" s="280"/>
      <c r="AS42" s="280"/>
      <c r="AT42" s="296" t="s">
        <v>69</v>
      </c>
      <c r="AU42" s="296" t="s">
        <v>1013</v>
      </c>
      <c r="AV42" s="296"/>
      <c r="AW42" s="296"/>
      <c r="AX42" s="246" t="s">
        <v>71</v>
      </c>
      <c r="AY42" s="246"/>
      <c r="AZ42" s="246" t="s">
        <v>997</v>
      </c>
      <c r="BA42" s="246"/>
      <c r="BB42" s="246" t="s">
        <v>24</v>
      </c>
      <c r="BC42" s="246"/>
      <c r="BD42" s="247" t="s">
        <v>1091</v>
      </c>
      <c r="BE42" s="243"/>
      <c r="BF42" s="243"/>
      <c r="BG42" s="243"/>
      <c r="BH42" s="243"/>
      <c r="BI42" s="243"/>
      <c r="BJ42" s="243"/>
      <c r="BK42" s="243"/>
      <c r="BL42" s="243"/>
      <c r="BM42" s="243"/>
      <c r="BN42" s="243"/>
    </row>
    <row r="43" spans="40:72" x14ac:dyDescent="0.3">
      <c r="AN43" s="275"/>
      <c r="AO43" s="275"/>
      <c r="AP43" s="280"/>
      <c r="AQ43" s="280"/>
      <c r="AR43" s="280"/>
      <c r="AS43" s="280"/>
      <c r="AT43" s="296"/>
      <c r="AU43" s="296"/>
      <c r="AV43" s="296"/>
      <c r="AW43" s="296"/>
      <c r="AX43" s="246"/>
      <c r="AY43" s="246"/>
      <c r="AZ43" s="246"/>
      <c r="BA43" s="246"/>
      <c r="BB43" s="246"/>
      <c r="BC43" s="246"/>
      <c r="BD43" s="247"/>
      <c r="BE43" s="248" t="s">
        <v>1027</v>
      </c>
      <c r="BF43" s="244" t="s">
        <v>17</v>
      </c>
      <c r="BG43" s="244"/>
      <c r="BH43" s="244" t="s">
        <v>18</v>
      </c>
      <c r="BI43" s="244"/>
      <c r="BJ43" s="244" t="s">
        <v>19</v>
      </c>
      <c r="BK43" s="244"/>
      <c r="BL43" s="244" t="s">
        <v>667</v>
      </c>
      <c r="BM43" s="244"/>
      <c r="BN43" s="243"/>
    </row>
    <row r="44" spans="40:72" ht="28.8" x14ac:dyDescent="0.3">
      <c r="AN44" s="275"/>
      <c r="AO44" s="275"/>
      <c r="AP44" s="65" t="s">
        <v>1016</v>
      </c>
      <c r="AQ44" s="65" t="s">
        <v>1074</v>
      </c>
      <c r="AR44" s="66" t="s">
        <v>73</v>
      </c>
      <c r="AS44" s="67" t="s">
        <v>1019</v>
      </c>
      <c r="AT44" s="65" t="s">
        <v>1026</v>
      </c>
      <c r="AU44" s="65" t="s">
        <v>1036</v>
      </c>
      <c r="AV44" s="65" t="s">
        <v>1021</v>
      </c>
      <c r="AW44" s="65" t="s">
        <v>1022</v>
      </c>
      <c r="AX44" s="246"/>
      <c r="AY44" s="246"/>
      <c r="AZ44" s="69" t="s">
        <v>1071</v>
      </c>
      <c r="BA44" s="69" t="s">
        <v>1072</v>
      </c>
      <c r="BB44" s="62" t="s">
        <v>1035</v>
      </c>
      <c r="BC44" s="62" t="s">
        <v>1014</v>
      </c>
      <c r="BD44" s="247"/>
      <c r="BE44" s="248"/>
      <c r="BF44" s="72" t="s">
        <v>1023</v>
      </c>
      <c r="BG44" s="72" t="s">
        <v>1024</v>
      </c>
      <c r="BH44" s="72" t="s">
        <v>1023</v>
      </c>
      <c r="BI44" s="72" t="s">
        <v>1024</v>
      </c>
      <c r="BJ44" s="72" t="s">
        <v>1023</v>
      </c>
      <c r="BK44" s="72" t="s">
        <v>1024</v>
      </c>
      <c r="BL44" s="72" t="s">
        <v>1023</v>
      </c>
      <c r="BM44" s="72" t="s">
        <v>1024</v>
      </c>
      <c r="BN44" s="74" t="s">
        <v>1048</v>
      </c>
    </row>
    <row r="45" spans="40:72" ht="28.8" x14ac:dyDescent="0.3">
      <c r="AN45" s="307" t="s">
        <v>1063</v>
      </c>
      <c r="AO45" s="307" t="s">
        <v>923</v>
      </c>
      <c r="AP45" s="245">
        <v>32</v>
      </c>
      <c r="AQ45" s="245" t="s">
        <v>1064</v>
      </c>
      <c r="AR45" s="306" t="s">
        <v>1018</v>
      </c>
      <c r="AS45" s="245" t="s">
        <v>1065</v>
      </c>
      <c r="AT45" s="66">
        <v>3</v>
      </c>
      <c r="AU45" s="245" t="s">
        <v>1073</v>
      </c>
      <c r="AV45" s="245">
        <v>3</v>
      </c>
      <c r="AW45" s="245">
        <v>1</v>
      </c>
      <c r="AX45" s="271">
        <v>2</v>
      </c>
      <c r="AY45" s="3" t="s">
        <v>1012</v>
      </c>
      <c r="AZ45" s="271" t="s">
        <v>1047</v>
      </c>
      <c r="BA45" s="3">
        <v>1</v>
      </c>
      <c r="BB45" s="271" t="s">
        <v>1061</v>
      </c>
      <c r="BC45" s="3">
        <v>1</v>
      </c>
      <c r="BD45" s="70">
        <v>13</v>
      </c>
      <c r="BE45" s="74" t="s">
        <v>1028</v>
      </c>
      <c r="BF45" s="73"/>
      <c r="BG45" s="73"/>
      <c r="BH45" s="73"/>
      <c r="BI45" s="73"/>
      <c r="BJ45" s="73"/>
      <c r="BK45" s="73"/>
      <c r="BL45" s="73" t="s">
        <v>150</v>
      </c>
      <c r="BM45" s="71" t="s">
        <v>687</v>
      </c>
      <c r="BN45" s="73">
        <v>0</v>
      </c>
    </row>
    <row r="46" spans="40:72" ht="28.8" x14ac:dyDescent="0.3">
      <c r="AN46" s="307"/>
      <c r="AO46" s="307"/>
      <c r="AP46" s="245"/>
      <c r="AQ46" s="245"/>
      <c r="AR46" s="306"/>
      <c r="AS46" s="245"/>
      <c r="AT46" s="66">
        <v>6</v>
      </c>
      <c r="AU46" s="245"/>
      <c r="AV46" s="245"/>
      <c r="AW46" s="245"/>
      <c r="AX46" s="271"/>
      <c r="AY46" s="3" t="s">
        <v>1015</v>
      </c>
      <c r="AZ46" s="271"/>
      <c r="BA46" s="3">
        <v>1</v>
      </c>
      <c r="BB46" s="271"/>
      <c r="BC46" s="3">
        <v>1</v>
      </c>
      <c r="BD46" s="70">
        <v>13</v>
      </c>
      <c r="BE46" s="74" t="s">
        <v>1028</v>
      </c>
      <c r="BF46" s="73"/>
      <c r="BG46" s="73"/>
      <c r="BH46" s="73"/>
      <c r="BI46" s="73"/>
      <c r="BJ46" s="73"/>
      <c r="BK46" s="73"/>
      <c r="BL46" s="73"/>
      <c r="BM46" s="73"/>
      <c r="BN46" s="73">
        <v>3</v>
      </c>
    </row>
    <row r="47" spans="40:72" ht="43.2" x14ac:dyDescent="0.3">
      <c r="AN47" s="307"/>
      <c r="AO47" s="2" t="s">
        <v>924</v>
      </c>
      <c r="AP47" s="66">
        <v>23</v>
      </c>
      <c r="AQ47" s="66" t="s">
        <v>1064</v>
      </c>
      <c r="AR47" s="67" t="s">
        <v>1018</v>
      </c>
      <c r="AS47" s="66" t="s">
        <v>1066</v>
      </c>
      <c r="AT47" s="66">
        <v>3</v>
      </c>
      <c r="AU47" s="66" t="s">
        <v>1075</v>
      </c>
      <c r="AV47" s="66">
        <v>9</v>
      </c>
      <c r="AW47" s="66">
        <v>1</v>
      </c>
      <c r="AX47" s="3">
        <v>1</v>
      </c>
      <c r="AY47" s="3" t="s">
        <v>1015</v>
      </c>
      <c r="AZ47" s="3" t="s">
        <v>1047</v>
      </c>
      <c r="BA47" s="3">
        <v>1</v>
      </c>
      <c r="BB47" s="3" t="s">
        <v>1062</v>
      </c>
      <c r="BC47" s="3">
        <v>1</v>
      </c>
      <c r="BD47" s="70">
        <v>13</v>
      </c>
      <c r="BE47" s="74" t="s">
        <v>1028</v>
      </c>
      <c r="BF47" s="73"/>
      <c r="BG47" s="73"/>
      <c r="BH47" s="73"/>
      <c r="BI47" s="73"/>
      <c r="BJ47" s="73"/>
      <c r="BK47" s="73"/>
      <c r="BL47" s="73"/>
      <c r="BM47" s="73"/>
      <c r="BN47" s="73">
        <v>3</v>
      </c>
    </row>
    <row r="48" spans="40:72" ht="43.2" x14ac:dyDescent="0.3">
      <c r="AN48" s="307" t="s">
        <v>1067</v>
      </c>
      <c r="AO48" s="307"/>
      <c r="AP48" s="66"/>
      <c r="AQ48" s="66" t="s">
        <v>1069</v>
      </c>
      <c r="AR48" s="67" t="s">
        <v>1018</v>
      </c>
      <c r="AS48" s="66" t="s">
        <v>1083</v>
      </c>
      <c r="AT48" s="66">
        <v>2</v>
      </c>
      <c r="AU48" s="66" t="s">
        <v>1073</v>
      </c>
      <c r="AV48" s="66">
        <v>3</v>
      </c>
      <c r="AW48" s="66">
        <v>1</v>
      </c>
      <c r="AX48" s="3">
        <v>1</v>
      </c>
      <c r="AY48" s="3" t="s">
        <v>1012</v>
      </c>
      <c r="AZ48" s="3" t="s">
        <v>1047</v>
      </c>
      <c r="BA48" s="3">
        <v>2</v>
      </c>
      <c r="BB48" s="3" t="s">
        <v>1070</v>
      </c>
      <c r="BC48" s="3">
        <v>1</v>
      </c>
      <c r="BD48" s="70">
        <v>13</v>
      </c>
      <c r="BE48" s="74" t="s">
        <v>1028</v>
      </c>
      <c r="BF48" s="73"/>
      <c r="BG48" s="73"/>
      <c r="BH48" s="73"/>
      <c r="BI48" s="73"/>
      <c r="BJ48" s="73"/>
      <c r="BK48" s="73"/>
      <c r="BL48" s="71" t="s">
        <v>830</v>
      </c>
      <c r="BM48" s="71" t="s">
        <v>832</v>
      </c>
      <c r="BN48" s="73">
        <v>0</v>
      </c>
    </row>
    <row r="49" spans="40:66" ht="28.8" x14ac:dyDescent="0.3">
      <c r="AN49" s="307" t="s">
        <v>1079</v>
      </c>
      <c r="AO49" s="307" t="s">
        <v>923</v>
      </c>
      <c r="AP49" s="245">
        <v>19</v>
      </c>
      <c r="AQ49" s="245" t="s">
        <v>1077</v>
      </c>
      <c r="AR49" s="306" t="s">
        <v>1018</v>
      </c>
      <c r="AS49" s="245" t="s">
        <v>1082</v>
      </c>
      <c r="AT49" s="66">
        <v>3</v>
      </c>
      <c r="AU49" s="245" t="s">
        <v>1076</v>
      </c>
      <c r="AV49" s="245">
        <v>3</v>
      </c>
      <c r="AW49" s="245">
        <v>1</v>
      </c>
      <c r="AX49" s="271">
        <v>2</v>
      </c>
      <c r="AY49" s="3" t="s">
        <v>1012</v>
      </c>
      <c r="AZ49" s="3" t="s">
        <v>1047</v>
      </c>
      <c r="BA49" s="3">
        <v>1</v>
      </c>
      <c r="BB49" s="3" t="s">
        <v>1061</v>
      </c>
      <c r="BC49" s="3">
        <v>1</v>
      </c>
      <c r="BD49" s="70">
        <v>13</v>
      </c>
      <c r="BE49" s="74" t="s">
        <v>1028</v>
      </c>
      <c r="BF49" s="73"/>
      <c r="BG49" s="73"/>
      <c r="BH49" s="73"/>
      <c r="BI49" s="73"/>
      <c r="BJ49" s="73"/>
      <c r="BK49" s="73"/>
      <c r="BL49" s="73"/>
      <c r="BM49" s="73"/>
      <c r="BN49" s="73">
        <v>0</v>
      </c>
    </row>
    <row r="50" spans="40:66" ht="28.8" x14ac:dyDescent="0.3">
      <c r="AN50" s="307"/>
      <c r="AO50" s="307"/>
      <c r="AP50" s="245"/>
      <c r="AQ50" s="245"/>
      <c r="AR50" s="306"/>
      <c r="AS50" s="245"/>
      <c r="AT50" s="66">
        <v>6</v>
      </c>
      <c r="AU50" s="245"/>
      <c r="AV50" s="245"/>
      <c r="AW50" s="245"/>
      <c r="AX50" s="271"/>
      <c r="AY50" s="3" t="s">
        <v>1015</v>
      </c>
      <c r="AZ50" s="3" t="s">
        <v>1047</v>
      </c>
      <c r="BA50" s="3">
        <v>1</v>
      </c>
      <c r="BB50" s="3" t="s">
        <v>1062</v>
      </c>
      <c r="BC50" s="3">
        <v>1</v>
      </c>
      <c r="BD50" s="70">
        <v>13</v>
      </c>
      <c r="BE50" s="74" t="s">
        <v>1028</v>
      </c>
      <c r="BF50" s="244" t="s">
        <v>1081</v>
      </c>
      <c r="BG50" s="244"/>
      <c r="BH50" s="244"/>
      <c r="BI50" s="244"/>
      <c r="BJ50" s="244"/>
      <c r="BK50" s="244"/>
      <c r="BL50" s="244"/>
      <c r="BM50" s="244"/>
      <c r="BN50" s="73">
        <v>3</v>
      </c>
    </row>
    <row r="51" spans="40:66" ht="28.8" x14ac:dyDescent="0.3">
      <c r="AN51" s="307"/>
      <c r="AO51" s="2" t="s">
        <v>1080</v>
      </c>
      <c r="AP51" s="66">
        <v>1</v>
      </c>
      <c r="AQ51" s="66" t="s">
        <v>1077</v>
      </c>
      <c r="AR51" s="306" t="s">
        <v>1018</v>
      </c>
      <c r="AS51" s="68">
        <v>46023</v>
      </c>
      <c r="AT51" s="66">
        <v>3</v>
      </c>
      <c r="AU51" s="66" t="s">
        <v>1076</v>
      </c>
      <c r="AV51" s="66">
        <v>3</v>
      </c>
      <c r="AW51" s="66">
        <v>1</v>
      </c>
      <c r="AX51" s="3">
        <v>1</v>
      </c>
      <c r="AY51" s="3" t="s">
        <v>1012</v>
      </c>
      <c r="AZ51" s="3" t="s">
        <v>1047</v>
      </c>
      <c r="BA51" s="3">
        <v>1</v>
      </c>
      <c r="BB51" s="3" t="s">
        <v>1070</v>
      </c>
      <c r="BC51" s="3">
        <v>1</v>
      </c>
      <c r="BD51" s="70">
        <v>13</v>
      </c>
      <c r="BE51" s="74" t="s">
        <v>1028</v>
      </c>
      <c r="BF51" s="73"/>
      <c r="BG51" s="73"/>
      <c r="BH51" s="73"/>
      <c r="BI51" s="73"/>
      <c r="BJ51" s="73"/>
      <c r="BK51" s="73"/>
      <c r="BL51" s="73" t="s">
        <v>889</v>
      </c>
      <c r="BM51" s="71" t="s">
        <v>888</v>
      </c>
      <c r="BN51" s="73">
        <v>0</v>
      </c>
    </row>
    <row r="52" spans="40:66" ht="28.8" x14ac:dyDescent="0.3">
      <c r="AN52" s="307"/>
      <c r="AO52" s="2" t="s">
        <v>924</v>
      </c>
      <c r="AP52" s="66">
        <v>45</v>
      </c>
      <c r="AQ52" s="66" t="s">
        <v>1077</v>
      </c>
      <c r="AR52" s="306"/>
      <c r="AS52" s="66" t="s">
        <v>1084</v>
      </c>
      <c r="AT52" s="66">
        <v>6</v>
      </c>
      <c r="AU52" s="66" t="s">
        <v>1076</v>
      </c>
      <c r="AV52" s="66">
        <v>9</v>
      </c>
      <c r="AW52" s="66">
        <v>1</v>
      </c>
      <c r="AX52" s="3">
        <v>1</v>
      </c>
      <c r="AY52" s="3" t="s">
        <v>1015</v>
      </c>
      <c r="AZ52" s="3" t="s">
        <v>1047</v>
      </c>
      <c r="BA52" s="3">
        <v>1</v>
      </c>
      <c r="BB52" s="3" t="s">
        <v>1062</v>
      </c>
      <c r="BC52" s="3">
        <v>1</v>
      </c>
      <c r="BD52" s="70">
        <v>13</v>
      </c>
      <c r="BE52" s="74" t="s">
        <v>1028</v>
      </c>
      <c r="BF52" s="73"/>
      <c r="BG52" s="73"/>
      <c r="BH52" s="73"/>
      <c r="BI52" s="73"/>
      <c r="BJ52" s="73"/>
      <c r="BK52" s="73"/>
      <c r="BL52" s="73"/>
      <c r="BM52" s="73"/>
      <c r="BN52" s="73">
        <v>3</v>
      </c>
    </row>
  </sheetData>
  <mergeCells count="141">
    <mergeCell ref="F9:G13"/>
    <mergeCell ref="AQ49:AQ50"/>
    <mergeCell ref="AR49:AR50"/>
    <mergeCell ref="BJ43:BK43"/>
    <mergeCell ref="BL43:BM43"/>
    <mergeCell ref="AN45:AN47"/>
    <mergeCell ref="AO45:AO46"/>
    <mergeCell ref="AP45:AP46"/>
    <mergeCell ref="AQ45:AQ46"/>
    <mergeCell ref="AX49:AX50"/>
    <mergeCell ref="BF50:BM50"/>
    <mergeCell ref="AW45:AW46"/>
    <mergeCell ref="AX45:AX46"/>
    <mergeCell ref="AZ45:AZ46"/>
    <mergeCell ref="BB45:BB46"/>
    <mergeCell ref="AN41:AO44"/>
    <mergeCell ref="BC31:BC32"/>
    <mergeCell ref="BD31:BD32"/>
    <mergeCell ref="BL32:BS32"/>
    <mergeCell ref="BC27:BC28"/>
    <mergeCell ref="BN41:BN43"/>
    <mergeCell ref="AP42:AS43"/>
    <mergeCell ref="AT42:AT43"/>
    <mergeCell ref="AU42:AW43"/>
    <mergeCell ref="AR51:AR52"/>
    <mergeCell ref="AS49:AS50"/>
    <mergeCell ref="AU49:AU50"/>
    <mergeCell ref="AV49:AV50"/>
    <mergeCell ref="AW49:AW50"/>
    <mergeCell ref="AN48:AO48"/>
    <mergeCell ref="AN49:AN52"/>
    <mergeCell ref="AO49:AO50"/>
    <mergeCell ref="AP49:AP50"/>
    <mergeCell ref="AX42:AY44"/>
    <mergeCell ref="AR45:AR46"/>
    <mergeCell ref="AS45:AS46"/>
    <mergeCell ref="AU45:AU46"/>
    <mergeCell ref="AV45:AV46"/>
    <mergeCell ref="AZ42:BA43"/>
    <mergeCell ref="BH43:BI43"/>
    <mergeCell ref="AP41:AS41"/>
    <mergeCell ref="AT41:AW41"/>
    <mergeCell ref="AX41:BC41"/>
    <mergeCell ref="BE41:BM42"/>
    <mergeCell ref="BB42:BC43"/>
    <mergeCell ref="BD42:BD44"/>
    <mergeCell ref="BE43:BE44"/>
    <mergeCell ref="BF43:BG43"/>
    <mergeCell ref="AV22:BC22"/>
    <mergeCell ref="BD22:BI22"/>
    <mergeCell ref="BK22:BT22"/>
    <mergeCell ref="AW31:AW32"/>
    <mergeCell ref="AX31:AX32"/>
    <mergeCell ref="BP25:BQ25"/>
    <mergeCell ref="BR25:BS25"/>
    <mergeCell ref="AT27:AT29"/>
    <mergeCell ref="BF24:BG25"/>
    <mergeCell ref="BD27:BD28"/>
    <mergeCell ref="BF27:BF28"/>
    <mergeCell ref="BH27:BH28"/>
    <mergeCell ref="AT30:AU30"/>
    <mergeCell ref="AT31:AT34"/>
    <mergeCell ref="AU31:AU32"/>
    <mergeCell ref="AV31:AV32"/>
    <mergeCell ref="BH24:BI25"/>
    <mergeCell ref="AU27:AU28"/>
    <mergeCell ref="AV27:AV28"/>
    <mergeCell ref="AW27:AW28"/>
    <mergeCell ref="AX27:AX28"/>
    <mergeCell ref="AY27:AY28"/>
    <mergeCell ref="BA27:BA28"/>
    <mergeCell ref="AN38:AT38"/>
    <mergeCell ref="AN39:BN39"/>
    <mergeCell ref="AP40:AW40"/>
    <mergeCell ref="AX40:BC40"/>
    <mergeCell ref="BE40:BN40"/>
    <mergeCell ref="BB27:BB28"/>
    <mergeCell ref="BT23:BT25"/>
    <mergeCell ref="AV24:AY25"/>
    <mergeCell ref="AZ24:AZ25"/>
    <mergeCell ref="BA24:BC25"/>
    <mergeCell ref="BD24:BE26"/>
    <mergeCell ref="BJ24:BJ26"/>
    <mergeCell ref="BK25:BK26"/>
    <mergeCell ref="BL25:BM25"/>
    <mergeCell ref="BN25:BO25"/>
    <mergeCell ref="AT23:AU26"/>
    <mergeCell ref="AV23:AY23"/>
    <mergeCell ref="AZ23:BC23"/>
    <mergeCell ref="BD23:BI23"/>
    <mergeCell ref="BK23:BS24"/>
    <mergeCell ref="AX33:AX34"/>
    <mergeCell ref="AY31:AY32"/>
    <mergeCell ref="BA31:BA32"/>
    <mergeCell ref="BB31:BB32"/>
    <mergeCell ref="W6:W8"/>
    <mergeCell ref="X7:Y7"/>
    <mergeCell ref="Z7:AA7"/>
    <mergeCell ref="AB7:AC7"/>
    <mergeCell ref="AD7:AE7"/>
    <mergeCell ref="AG7:AI7"/>
    <mergeCell ref="AJ7:AK7"/>
    <mergeCell ref="S9:AK13"/>
    <mergeCell ref="H14:AK18"/>
    <mergeCell ref="H9:R13"/>
    <mergeCell ref="O7:O8"/>
    <mergeCell ref="P7:P8"/>
    <mergeCell ref="T7:U7"/>
    <mergeCell ref="V7:V8"/>
    <mergeCell ref="K6:N6"/>
    <mergeCell ref="O6:P6"/>
    <mergeCell ref="Q6:Q8"/>
    <mergeCell ref="R6:R8"/>
    <mergeCell ref="S6:S8"/>
    <mergeCell ref="T6:V6"/>
    <mergeCell ref="M7:M8"/>
    <mergeCell ref="N7:N8"/>
    <mergeCell ref="AT20:AZ20"/>
    <mergeCell ref="AT21:BT21"/>
    <mergeCell ref="F14:G18"/>
    <mergeCell ref="B9:B18"/>
    <mergeCell ref="C9:C18"/>
    <mergeCell ref="D9:D18"/>
    <mergeCell ref="E9:E18"/>
    <mergeCell ref="U2:AD2"/>
    <mergeCell ref="R4:V4"/>
    <mergeCell ref="X4:AK4"/>
    <mergeCell ref="B5:E5"/>
    <mergeCell ref="F5:N5"/>
    <mergeCell ref="O5:Q5"/>
    <mergeCell ref="R5:V5"/>
    <mergeCell ref="X5:AE6"/>
    <mergeCell ref="AF5:AK6"/>
    <mergeCell ref="B6:B8"/>
    <mergeCell ref="C6:C8"/>
    <mergeCell ref="D6:D8"/>
    <mergeCell ref="E6:E8"/>
    <mergeCell ref="F6:G8"/>
    <mergeCell ref="H6:I8"/>
    <mergeCell ref="J6:J8"/>
    <mergeCell ref="K7:L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4908B4-D5B4-413E-B53C-27AE5AB961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Stato procedurale</vt:lpstr>
      <vt:lpstr>Bagnoli_Renzulli  </vt:lpstr>
      <vt:lpstr>SIN_Bagnoli</vt:lpstr>
      <vt:lpstr>Bagnoli_Arenile Sud</vt:lpstr>
      <vt:lpstr>Bagnoli_Colmata </vt:lpstr>
      <vt:lpstr>Bagnoli_Arenile Nord</vt:lpstr>
      <vt:lpstr>Ex Ilva-Ex Italsider </vt:lpstr>
      <vt:lpstr>Foglio1</vt:lpstr>
      <vt:lpstr>Basi 15</vt:lpstr>
      <vt:lpstr>Bagnoli_Cavone degli Sbirri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ASSUNTO PIO RENZULLI</cp:lastModifiedBy>
  <dcterms:created xsi:type="dcterms:W3CDTF">2026-02-10T15:59:43Z</dcterms:created>
  <dcterms:modified xsi:type="dcterms:W3CDTF">2026-05-04T14:27:40Z</dcterms:modified>
</cp:coreProperties>
</file>